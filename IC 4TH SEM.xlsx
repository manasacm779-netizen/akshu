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24226"/>
  <bookViews>
    <workbookView xWindow="0" yWindow="0" windowWidth="24000" windowHeight="10620" firstSheet="3" activeTab="9"/>
  </bookViews>
  <sheets>
    <sheet name="Tutorial_averaging" sheetId="1" r:id="rId1"/>
    <sheet name="Record_Averaging" sheetId="2" r:id="rId2"/>
    <sheet name="Levels" sheetId="5" r:id="rId3"/>
    <sheet name="CO-1" sheetId="6" r:id="rId4"/>
    <sheet name="CO-2" sheetId="8" r:id="rId5"/>
    <sheet name="CO-3" sheetId="9" r:id="rId6"/>
    <sheet name="CO-4" sheetId="11" r:id="rId7"/>
    <sheet name="CO-PO_Mapping" sheetId="7" r:id="rId8"/>
    <sheet name="CIE" sheetId="10" r:id="rId9"/>
    <sheet name="2025-26(3RD SEM)" sheetId="13" r:id="rId10"/>
    <sheet name="202-26(1ST SEM)" sheetId="12" r:id="rId11"/>
  </sheets>
  <definedNames>
    <definedName name="_xlnm.Print_Area" localSheetId="2">Levels!$A$1:$H$27</definedName>
    <definedName name="_xlnm.Print_Area" localSheetId="0">Tutorial_averaging!$A$1:$R$47</definedName>
  </definedNames>
  <calcPr calcId="162913"/>
</workbook>
</file>

<file path=xl/calcChain.xml><?xml version="1.0" encoding="utf-8"?>
<calcChain xmlns="http://schemas.openxmlformats.org/spreadsheetml/2006/main">
  <c r="L10" i="13" l="1"/>
  <c r="J10" i="13"/>
  <c r="G10" i="13"/>
  <c r="L40" i="9" l="1"/>
  <c r="K16" i="9"/>
  <c r="K17" i="9"/>
  <c r="K18" i="9"/>
  <c r="K19" i="9"/>
  <c r="K20" i="9"/>
  <c r="K21" i="9"/>
  <c r="K22" i="9"/>
  <c r="K23" i="9"/>
  <c r="K24" i="9"/>
  <c r="K25" i="9"/>
  <c r="K26" i="9"/>
  <c r="K27" i="9"/>
  <c r="K28" i="9"/>
  <c r="K29" i="9"/>
  <c r="K30" i="9"/>
  <c r="K31" i="9"/>
  <c r="K32" i="9"/>
  <c r="K33" i="9"/>
  <c r="K34" i="9"/>
  <c r="K35" i="9"/>
  <c r="K36" i="9"/>
  <c r="K37" i="9"/>
  <c r="K38" i="9"/>
  <c r="K39" i="9"/>
  <c r="K15" i="9"/>
  <c r="K14" i="9"/>
  <c r="K15" i="8"/>
  <c r="K16" i="8"/>
  <c r="K17" i="8"/>
  <c r="K18" i="8"/>
  <c r="L40" i="8" s="1"/>
  <c r="K19" i="8"/>
  <c r="K20" i="8"/>
  <c r="K21" i="8"/>
  <c r="K22" i="8"/>
  <c r="K23" i="8"/>
  <c r="K24" i="8"/>
  <c r="K25" i="8"/>
  <c r="K26" i="8"/>
  <c r="K27" i="8"/>
  <c r="K28" i="8"/>
  <c r="K29" i="8"/>
  <c r="K30" i="8"/>
  <c r="K31" i="8"/>
  <c r="K32" i="8"/>
  <c r="K33" i="8"/>
  <c r="K34" i="8"/>
  <c r="K35" i="8"/>
  <c r="K36" i="8"/>
  <c r="K37" i="8"/>
  <c r="K38" i="8"/>
  <c r="K39" i="8"/>
  <c r="K14" i="8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33" i="6"/>
  <c r="K34" i="6"/>
  <c r="K35" i="6"/>
  <c r="K36" i="6"/>
  <c r="K37" i="6"/>
  <c r="K38" i="6"/>
  <c r="K39" i="6"/>
  <c r="L41" i="9" l="1"/>
  <c r="L41" i="8"/>
  <c r="K15" i="11"/>
  <c r="K16" i="11"/>
  <c r="K17" i="11"/>
  <c r="K18" i="11"/>
  <c r="K19" i="11"/>
  <c r="K20" i="11"/>
  <c r="K21" i="11"/>
  <c r="K22" i="11"/>
  <c r="K23" i="11"/>
  <c r="K24" i="11"/>
  <c r="K25" i="11"/>
  <c r="K26" i="11"/>
  <c r="K27" i="11"/>
  <c r="K28" i="11"/>
  <c r="K29" i="11"/>
  <c r="K30" i="11"/>
  <c r="K31" i="11"/>
  <c r="K32" i="11"/>
  <c r="K33" i="11"/>
  <c r="K34" i="11"/>
  <c r="K35" i="11"/>
  <c r="K36" i="11"/>
  <c r="K37" i="11"/>
  <c r="K38" i="11"/>
  <c r="K39" i="11"/>
  <c r="K14" i="11"/>
  <c r="L40" i="11" s="1"/>
  <c r="L41" i="11" s="1"/>
  <c r="K14" i="6" l="1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12" i="2"/>
  <c r="L40" i="6" l="1"/>
  <c r="L41" i="6" s="1"/>
  <c r="N40" i="11"/>
  <c r="N41" i="11" s="1"/>
</calcChain>
</file>

<file path=xl/sharedStrings.xml><?xml version="1.0" encoding="utf-8"?>
<sst xmlns="http://schemas.openxmlformats.org/spreadsheetml/2006/main" count="1649" uniqueCount="441">
  <si>
    <t>FOR 10</t>
  </si>
  <si>
    <t>Register Number</t>
  </si>
  <si>
    <t>Sl No.</t>
  </si>
  <si>
    <t>Name</t>
  </si>
  <si>
    <t>CO1</t>
  </si>
  <si>
    <t>CO3</t>
  </si>
  <si>
    <t>139EC20001</t>
  </si>
  <si>
    <t>Akash T K</t>
  </si>
  <si>
    <t>139EC20002</t>
  </si>
  <si>
    <t>Chetan erappa naik</t>
  </si>
  <si>
    <t>139EC20004</t>
  </si>
  <si>
    <t>Darshan Kumar N K</t>
  </si>
  <si>
    <t>139EC20006</t>
  </si>
  <si>
    <t>Girish K.E</t>
  </si>
  <si>
    <t>139EC20007</t>
  </si>
  <si>
    <t>Hemantha. G. D</t>
  </si>
  <si>
    <t>139EC20011</t>
  </si>
  <si>
    <t>Karthika k</t>
  </si>
  <si>
    <t>139EC20012</t>
  </si>
  <si>
    <t>Lingaraj D</t>
  </si>
  <si>
    <t>139EC20013</t>
  </si>
  <si>
    <t>Madhu Kumar YR</t>
  </si>
  <si>
    <t>139EC20015</t>
  </si>
  <si>
    <t>Manoj H P</t>
  </si>
  <si>
    <t>139EC20016</t>
  </si>
  <si>
    <t>Manoj Basavaraj Agasibagila</t>
  </si>
  <si>
    <t>139EC20018</t>
  </si>
  <si>
    <t>Pramodkumar K</t>
  </si>
  <si>
    <t>139EC20020</t>
  </si>
  <si>
    <t>Rajesh D</t>
  </si>
  <si>
    <t>139EC20021</t>
  </si>
  <si>
    <t>Raksha. R</t>
  </si>
  <si>
    <t>139EC20022</t>
  </si>
  <si>
    <t>Sahana C</t>
  </si>
  <si>
    <t>139EC20023</t>
  </si>
  <si>
    <t>Sanjay K</t>
  </si>
  <si>
    <t>139EC20024</t>
  </si>
  <si>
    <t>Shashank y</t>
  </si>
  <si>
    <t>139EC20025</t>
  </si>
  <si>
    <t>Sourab R</t>
  </si>
  <si>
    <t>139EC20026</t>
  </si>
  <si>
    <t>Subrahmanya T</t>
  </si>
  <si>
    <t>139EC20027</t>
  </si>
  <si>
    <t>Tejaswini. N</t>
  </si>
  <si>
    <t>139EC20028</t>
  </si>
  <si>
    <t>Vikas K R</t>
  </si>
  <si>
    <t>139EC20030</t>
  </si>
  <si>
    <t>Yuvaraja Basavaraj channayya</t>
  </si>
  <si>
    <t>139EC21302</t>
  </si>
  <si>
    <t>Hanumanagouda balanagoudra</t>
  </si>
  <si>
    <t>139EC21303</t>
  </si>
  <si>
    <t>Karibasappa S</t>
  </si>
  <si>
    <t>139EC21307</t>
  </si>
  <si>
    <t>Raghavendra naik D</t>
  </si>
  <si>
    <t>139EC21308</t>
  </si>
  <si>
    <t>Satyamurthi S K</t>
  </si>
  <si>
    <t>139EC21309</t>
  </si>
  <si>
    <t>Shreyas H S</t>
  </si>
  <si>
    <t>Avg for 10</t>
  </si>
  <si>
    <t>CO2</t>
  </si>
  <si>
    <t>Course</t>
  </si>
  <si>
    <t xml:space="preserve">Attainment </t>
  </si>
  <si>
    <t xml:space="preserve">Description </t>
  </si>
  <si>
    <t>Code</t>
  </si>
  <si>
    <t>Level 1</t>
  </si>
  <si>
    <t>Session</t>
  </si>
  <si>
    <t>Level 2</t>
  </si>
  <si>
    <t>L:T:P</t>
  </si>
  <si>
    <t>Level 3</t>
  </si>
  <si>
    <t>Credits</t>
  </si>
  <si>
    <t>Faculty</t>
  </si>
  <si>
    <t>VEENA P N</t>
  </si>
  <si>
    <t>CO</t>
  </si>
  <si>
    <t>WT1</t>
  </si>
  <si>
    <t>WT2</t>
  </si>
  <si>
    <t>WT3</t>
  </si>
  <si>
    <t>ST1</t>
  </si>
  <si>
    <t>ST2</t>
  </si>
  <si>
    <t xml:space="preserve">Activities </t>
  </si>
  <si>
    <t>CO-01</t>
  </si>
  <si>
    <t>Group 1 to Group 8</t>
  </si>
  <si>
    <t>CO-02</t>
  </si>
  <si>
    <t>CO-03</t>
  </si>
  <si>
    <t>CIE</t>
  </si>
  <si>
    <t>SEE</t>
  </si>
  <si>
    <t>PO</t>
  </si>
  <si>
    <t xml:space="preserve">CO </t>
  </si>
  <si>
    <t>Tools</t>
  </si>
  <si>
    <t>ACT</t>
  </si>
  <si>
    <t>Question</t>
  </si>
  <si>
    <t>Max Marks</t>
  </si>
  <si>
    <t>AKASH T K</t>
  </si>
  <si>
    <t>CHETAN ERAPPA NAIK</t>
  </si>
  <si>
    <t>DARSHAN KUMAR N K</t>
  </si>
  <si>
    <t>GIRISH K E</t>
  </si>
  <si>
    <t>HEMANTHA G D</t>
  </si>
  <si>
    <t>KARTHIKA K</t>
  </si>
  <si>
    <t>LINGARAJ D</t>
  </si>
  <si>
    <t>MADHUKUMAR Y R</t>
  </si>
  <si>
    <t>MANOJ H P</t>
  </si>
  <si>
    <t>MANOJA BASAVARAJA
 AGASIBAGILA</t>
  </si>
  <si>
    <t>PRAMODKUMAR K</t>
  </si>
  <si>
    <t>RAJESH D</t>
  </si>
  <si>
    <t>RAKSHA R</t>
  </si>
  <si>
    <t>SAHANA C</t>
  </si>
  <si>
    <t>SANJAY K</t>
  </si>
  <si>
    <t>SHASHANK Y</t>
  </si>
  <si>
    <t>SOURAB R</t>
  </si>
  <si>
    <t>SUBRAMANYA T</t>
  </si>
  <si>
    <t>TEJASWINI N</t>
  </si>
  <si>
    <t>VIKAS K R</t>
  </si>
  <si>
    <t>YUVARAJA BASAVARAJA 
CHENNAYYA</t>
  </si>
  <si>
    <t>HANUMANAGOUDA 
BALANAGOUDRA</t>
  </si>
  <si>
    <t xml:space="preserve">KARIBASAPPA S </t>
  </si>
  <si>
    <t xml:space="preserve">RAGHAVENDRA NAIK D </t>
  </si>
  <si>
    <t xml:space="preserve">SATYAMURTHI S K </t>
  </si>
  <si>
    <t xml:space="preserve">SHREYAS H S </t>
  </si>
  <si>
    <t xml:space="preserve">Number of Students Reached the Target </t>
  </si>
  <si>
    <t xml:space="preserve">Percentage of Students Reached the Target </t>
  </si>
  <si>
    <t xml:space="preserve">Attainment Level </t>
  </si>
  <si>
    <t>Overall CO1 Attainment Level considering 40% of CIE and 60% of SEE</t>
  </si>
  <si>
    <t>Course Outcomes</t>
  </si>
  <si>
    <t xml:space="preserve">PROGRAM OUTCOMES </t>
  </si>
  <si>
    <t xml:space="preserve">Register No. </t>
  </si>
  <si>
    <t xml:space="preserve">Sl No. </t>
  </si>
  <si>
    <t>--</t>
  </si>
  <si>
    <t>Course Name and Code</t>
  </si>
  <si>
    <t>Total
Marks</t>
  </si>
  <si>
    <t xml:space="preserve">Marks
Scored </t>
  </si>
  <si>
    <t>SEE AVERAGE</t>
  </si>
  <si>
    <t xml:space="preserve">SEE
</t>
  </si>
  <si>
    <t>Target 
(  )</t>
  </si>
  <si>
    <t>Sample PO PSO Attainment (Direct Method)</t>
  </si>
  <si>
    <t>Attainment</t>
  </si>
  <si>
    <t>Average</t>
  </si>
  <si>
    <t>GOVERNMENT OF KARNATAKA</t>
  </si>
  <si>
    <t>Department of Collegiate and Technical Education</t>
  </si>
  <si>
    <t xml:space="preserve">                          (VEENA  P N,L/EC)</t>
  </si>
  <si>
    <t xml:space="preserve">Sign of Principal </t>
  </si>
  <si>
    <r>
      <rPr>
        <b/>
        <sz val="12"/>
        <color rgb="FF000000"/>
        <rFont val="TiMES NEW ROMAN"/>
        <family val="1"/>
      </rPr>
      <t>Course Co-ordinator:</t>
    </r>
    <r>
      <rPr>
        <sz val="12"/>
        <color rgb="FF000000"/>
        <rFont val="TiMES NEW ROMAN"/>
        <family val="1"/>
      </rPr>
      <t xml:space="preserve"> Mrs. VEENA P N                                                                                                     </t>
    </r>
    <r>
      <rPr>
        <b/>
        <sz val="12"/>
        <color rgb="FF000000"/>
        <rFont val="TiMES NEW ROMAN"/>
        <family val="1"/>
      </rPr>
      <t xml:space="preserve">   CAY: </t>
    </r>
    <r>
      <rPr>
        <sz val="12"/>
        <color rgb="FF000000"/>
        <rFont val="TiMES NEW ROMAN"/>
        <family val="1"/>
      </rPr>
      <t xml:space="preserve">2021 - 2022                                          </t>
    </r>
    <r>
      <rPr>
        <b/>
        <sz val="12"/>
        <color rgb="FF000000"/>
        <rFont val="TiMES NEW ROMAN"/>
        <family val="1"/>
      </rPr>
      <t xml:space="preserve"> Credits:</t>
    </r>
    <r>
      <rPr>
        <sz val="12"/>
        <color rgb="FF000000"/>
        <rFont val="TiMES NEW ROMAN"/>
        <family val="1"/>
      </rPr>
      <t xml:space="preserve"> 6</t>
    </r>
  </si>
  <si>
    <r>
      <rPr>
        <b/>
        <sz val="12"/>
        <color rgb="FF000000"/>
        <rFont val="TiMES NEW ROMAN"/>
        <family val="1"/>
      </rPr>
      <t>Name Of Institution:</t>
    </r>
    <r>
      <rPr>
        <sz val="12"/>
        <color rgb="FF000000"/>
        <rFont val="TiMES NEW ROMAN"/>
        <family val="1"/>
      </rPr>
      <t xml:space="preserve"> Government polytechnic, Sorab                                                                                                                     </t>
    </r>
    <r>
      <rPr>
        <b/>
        <sz val="12"/>
        <color rgb="FF000000"/>
        <rFont val="TiMES NEW ROMAN"/>
        <family val="1"/>
      </rPr>
      <t xml:space="preserve">  Inst. Code:</t>
    </r>
    <r>
      <rPr>
        <sz val="12"/>
        <color rgb="FF000000"/>
        <rFont val="TiMES NEW ROMAN"/>
        <family val="1"/>
      </rPr>
      <t xml:space="preserve"> 139                                      </t>
    </r>
  </si>
  <si>
    <r>
      <rPr>
        <b/>
        <sz val="12"/>
        <color rgb="FF000000"/>
        <rFont val="TiMES NEW ROMAN"/>
        <family val="1"/>
      </rPr>
      <t>Course Co-ordinator:</t>
    </r>
    <r>
      <rPr>
        <sz val="12"/>
        <color rgb="FF000000"/>
        <rFont val="TiMES NEW ROMAN"/>
        <family val="1"/>
      </rPr>
      <t xml:space="preserve"> Mrs. VEENA P N                                                                                            </t>
    </r>
    <r>
      <rPr>
        <b/>
        <sz val="12"/>
        <color rgb="FF000000"/>
        <rFont val="TiMES NEW ROMAN"/>
        <family val="1"/>
      </rPr>
      <t xml:space="preserve"> CAY: </t>
    </r>
    <r>
      <rPr>
        <sz val="12"/>
        <color rgb="FF000000"/>
        <rFont val="TiMES NEW ROMAN"/>
        <family val="1"/>
      </rPr>
      <t xml:space="preserve">2021 - 2022                                          </t>
    </r>
    <r>
      <rPr>
        <b/>
        <sz val="12"/>
        <color rgb="FF000000"/>
        <rFont val="TiMES NEW ROMAN"/>
        <family val="1"/>
      </rPr>
      <t xml:space="preserve"> Credits:</t>
    </r>
    <r>
      <rPr>
        <sz val="12"/>
        <color rgb="FF000000"/>
        <rFont val="TiMES NEW ROMAN"/>
        <family val="1"/>
      </rPr>
      <t xml:space="preserve"> 6</t>
    </r>
  </si>
  <si>
    <r>
      <rPr>
        <b/>
        <sz val="12"/>
        <color rgb="FF000000"/>
        <rFont val="TiMES NEW ROMAN"/>
        <family val="1"/>
      </rPr>
      <t>Name Of Institution:</t>
    </r>
    <r>
      <rPr>
        <sz val="12"/>
        <color rgb="FF000000"/>
        <rFont val="TiMES NEW ROMAN"/>
        <family val="1"/>
      </rPr>
      <t xml:space="preserve"> Government polytechnic, Sorab                                                                           </t>
    </r>
    <r>
      <rPr>
        <b/>
        <sz val="12"/>
        <color rgb="FF000000"/>
        <rFont val="TiMES NEW ROMAN"/>
        <family val="1"/>
      </rPr>
      <t>Inst. Code:</t>
    </r>
    <r>
      <rPr>
        <sz val="12"/>
        <color rgb="FF000000"/>
        <rFont val="TiMES NEW ROMAN"/>
        <family val="1"/>
      </rPr>
      <t xml:space="preserve"> 139                                      </t>
    </r>
  </si>
  <si>
    <t>Portfolio continuous evaluation of Activity</t>
  </si>
  <si>
    <t xml:space="preserve">Sign of Course Co-ordinator                                                                 Sign of Program Co-ordinator                   </t>
  </si>
  <si>
    <t xml:space="preserve">Sign of Course Co-ordinator                                      Sign of Program Co-ordinator                   </t>
  </si>
  <si>
    <t xml:space="preserve">             (VEENA  P N,L/EC)</t>
  </si>
  <si>
    <r>
      <rPr>
        <b/>
        <sz val="12"/>
        <color rgb="FF000000"/>
        <rFont val="TiMES NEW ROMAN"/>
        <family val="1"/>
      </rPr>
      <t>Name Of Institution:</t>
    </r>
    <r>
      <rPr>
        <sz val="12"/>
        <color rgb="FF000000"/>
        <rFont val="TiMES NEW ROMAN"/>
        <family val="1"/>
      </rPr>
      <t xml:space="preserve"> Government polytechnic, Sorab                                                                                                   </t>
    </r>
    <r>
      <rPr>
        <b/>
        <sz val="12"/>
        <color rgb="FF000000"/>
        <rFont val="TiMES NEW ROMAN"/>
        <family val="1"/>
      </rPr>
      <t>Inst. Code:</t>
    </r>
    <r>
      <rPr>
        <sz val="12"/>
        <color rgb="FF000000"/>
        <rFont val="TiMES NEW ROMAN"/>
        <family val="1"/>
      </rPr>
      <t xml:space="preserve"> 139                                      </t>
    </r>
  </si>
  <si>
    <r>
      <rPr>
        <b/>
        <sz val="12"/>
        <color rgb="FF000000"/>
        <rFont val="TiMES NEW ROMAN"/>
        <family val="1"/>
      </rPr>
      <t>Course Co-ordinator:</t>
    </r>
    <r>
      <rPr>
        <sz val="12"/>
        <color rgb="FF000000"/>
        <rFont val="TiMES NEW ROMAN"/>
        <family val="1"/>
      </rPr>
      <t xml:space="preserve"> Mrs. VEENA P N                                                                                                                    </t>
    </r>
    <r>
      <rPr>
        <b/>
        <sz val="12"/>
        <color rgb="FF000000"/>
        <rFont val="TiMES NEW ROMAN"/>
        <family val="1"/>
      </rPr>
      <t xml:space="preserve"> CAY: </t>
    </r>
    <r>
      <rPr>
        <sz val="12"/>
        <color rgb="FF000000"/>
        <rFont val="TiMES NEW ROMAN"/>
        <family val="1"/>
      </rPr>
      <t xml:space="preserve">2021 - 2022                                                                         </t>
    </r>
    <r>
      <rPr>
        <b/>
        <sz val="12"/>
        <color rgb="FF000000"/>
        <rFont val="TiMES NEW ROMAN"/>
        <family val="1"/>
      </rPr>
      <t xml:space="preserve"> Credits:</t>
    </r>
    <r>
      <rPr>
        <sz val="12"/>
        <color rgb="FF000000"/>
        <rFont val="TiMES NEW ROMAN"/>
        <family val="1"/>
      </rPr>
      <t xml:space="preserve"> 6</t>
    </r>
  </si>
  <si>
    <t>Portfolio evaluation of Practice sessions through Rubrics</t>
  </si>
  <si>
    <t>WT-1</t>
  </si>
  <si>
    <t>WT-2</t>
  </si>
  <si>
    <t>WT-3</t>
  </si>
  <si>
    <t xml:space="preserve">  Average of 3
written tests</t>
  </si>
  <si>
    <t>Total CIE</t>
  </si>
  <si>
    <t>CO-1</t>
  </si>
  <si>
    <t>CO- 2</t>
  </si>
  <si>
    <t>Skill Test -1</t>
  </si>
  <si>
    <t>Skill Test -2</t>
  </si>
  <si>
    <t xml:space="preserve">Portfolio Evaluation of activity </t>
  </si>
  <si>
    <t>Problem analysis</t>
  </si>
  <si>
    <t>Design/development of solutions</t>
  </si>
  <si>
    <t xml:space="preserve">Engineering practices for society, sustainability and environment </t>
  </si>
  <si>
    <t>Program Outcome</t>
  </si>
  <si>
    <t>PO1</t>
  </si>
  <si>
    <t>PO2</t>
  </si>
  <si>
    <t>PO3</t>
  </si>
  <si>
    <t>PO4</t>
  </si>
  <si>
    <t>PO5</t>
  </si>
  <si>
    <t>PO6</t>
  </si>
  <si>
    <t>PO7</t>
  </si>
  <si>
    <t>Project Management</t>
  </si>
  <si>
    <t>Life long learning</t>
  </si>
  <si>
    <t xml:space="preserve">Engineering Tools, Experimentation and Testing </t>
  </si>
  <si>
    <t>Basic and Discipline specific knowledge</t>
  </si>
  <si>
    <r>
      <t xml:space="preserve">Name Of Institution: </t>
    </r>
    <r>
      <rPr>
        <sz val="8"/>
        <color rgb="FF000000"/>
        <rFont val="Times New Roman"/>
        <family val="1"/>
      </rPr>
      <t xml:space="preserve">GOVERNMENT POLYTECHNIC, SORAB   </t>
    </r>
    <r>
      <rPr>
        <b/>
        <sz val="8"/>
        <color rgb="FF000000"/>
        <rFont val="Times New Roman"/>
        <family val="1"/>
      </rPr>
      <t xml:space="preserve">                                  Inst. Code: </t>
    </r>
    <r>
      <rPr>
        <sz val="8"/>
        <color rgb="FF000000"/>
        <rFont val="Times New Roman"/>
        <family val="1"/>
      </rPr>
      <t xml:space="preserve">139      </t>
    </r>
    <r>
      <rPr>
        <b/>
        <sz val="8"/>
        <color rgb="FF000000"/>
        <rFont val="Times New Roman"/>
        <family val="1"/>
      </rPr>
      <t xml:space="preserve">                                </t>
    </r>
  </si>
  <si>
    <r>
      <t xml:space="preserve">Course Co-ordinator: </t>
    </r>
    <r>
      <rPr>
        <sz val="8"/>
        <color rgb="FF000000"/>
        <rFont val="Times New Roman"/>
        <family val="1"/>
      </rPr>
      <t>Mrs. VEENA P N</t>
    </r>
    <r>
      <rPr>
        <b/>
        <sz val="8"/>
        <color rgb="FF000000"/>
        <rFont val="Times New Roman"/>
        <family val="1"/>
      </rPr>
      <t xml:space="preserve">                             CAY: </t>
    </r>
    <r>
      <rPr>
        <sz val="8"/>
        <color rgb="FF000000"/>
        <rFont val="Times New Roman"/>
        <family val="1"/>
      </rPr>
      <t xml:space="preserve">2021 - 2022  </t>
    </r>
    <r>
      <rPr>
        <b/>
        <sz val="8"/>
        <color rgb="FF000000"/>
        <rFont val="Times New Roman"/>
        <family val="1"/>
      </rPr>
      <t xml:space="preserve">                            Credits:</t>
    </r>
    <r>
      <rPr>
        <sz val="8"/>
        <color rgb="FF000000"/>
        <rFont val="Times New Roman"/>
        <family val="1"/>
      </rPr>
      <t xml:space="preserve"> 6</t>
    </r>
  </si>
  <si>
    <r>
      <t xml:space="preserve">Course Co-ordinator: </t>
    </r>
    <r>
      <rPr>
        <sz val="12"/>
        <color rgb="FF000000"/>
        <rFont val="TiMES NEW ROMAN"/>
        <family val="1"/>
      </rPr>
      <t xml:space="preserve">Mrs. VEENA P N     </t>
    </r>
    <r>
      <rPr>
        <b/>
        <sz val="12"/>
        <color rgb="FF000000"/>
        <rFont val="TiMES NEW ROMAN"/>
        <family val="1"/>
      </rPr>
      <t xml:space="preserve">                        CAY: </t>
    </r>
    <r>
      <rPr>
        <sz val="12"/>
        <color rgb="FF000000"/>
        <rFont val="TiMES NEW ROMAN"/>
        <family val="1"/>
      </rPr>
      <t xml:space="preserve">2021 - 2022 </t>
    </r>
    <r>
      <rPr>
        <b/>
        <sz val="12"/>
        <color rgb="FF000000"/>
        <rFont val="TiMES NEW ROMAN"/>
        <family val="1"/>
      </rPr>
      <t xml:space="preserve">                             Credits: </t>
    </r>
    <r>
      <rPr>
        <sz val="12"/>
        <color rgb="FF000000"/>
        <rFont val="TiMES NEW ROMAN"/>
        <family val="1"/>
      </rPr>
      <t>6</t>
    </r>
  </si>
  <si>
    <t xml:space="preserve"> Sign of Program Co-ordinator  </t>
  </si>
  <si>
    <t xml:space="preserve">Sign of Course Co-ordinator                                                 </t>
  </si>
  <si>
    <t>&gt;60% of the students reached the target</t>
  </si>
  <si>
    <t>&gt;70% of the students reached the target</t>
  </si>
  <si>
    <t>&gt;80% of the students reached the target</t>
  </si>
  <si>
    <t xml:space="preserve">ATTAINMENT LEVELS AND SET TARGETS </t>
  </si>
  <si>
    <t>CO TARGET</t>
  </si>
  <si>
    <t>CLASS AVERAGE</t>
  </si>
  <si>
    <t xml:space="preserve">Sign of Course Co-ordinator              Sign of Program Co-ordinator                   Sign of Principal             </t>
  </si>
  <si>
    <r>
      <t xml:space="preserve">Name Of Institution: </t>
    </r>
    <r>
      <rPr>
        <sz val="12"/>
        <color rgb="FF000000"/>
        <rFont val="TiMES NEW ROMAN"/>
        <family val="1"/>
      </rPr>
      <t xml:space="preserve">Government polytechnic, Sorab            </t>
    </r>
    <r>
      <rPr>
        <b/>
        <sz val="12"/>
        <color rgb="FF000000"/>
        <rFont val="TiMES NEW ROMAN"/>
        <family val="1"/>
      </rPr>
      <t xml:space="preserve">                                  Inst. Code: </t>
    </r>
    <r>
      <rPr>
        <sz val="12"/>
        <color rgb="FF000000"/>
        <rFont val="TiMES NEW ROMAN"/>
        <family val="1"/>
      </rPr>
      <t xml:space="preserve">139            </t>
    </r>
    <r>
      <rPr>
        <b/>
        <sz val="12"/>
        <color rgb="FF000000"/>
        <rFont val="TiMES NEW ROMAN"/>
        <family val="1"/>
      </rPr>
      <t xml:space="preserve">                          </t>
    </r>
  </si>
  <si>
    <r>
      <rPr>
        <b/>
        <sz val="12"/>
        <color rgb="FF000000"/>
        <rFont val="TiMES NEW ROMAN"/>
        <family val="1"/>
      </rPr>
      <t xml:space="preserve">Name Of the Program: </t>
    </r>
    <r>
      <rPr>
        <sz val="12"/>
        <color rgb="FF000000"/>
        <rFont val="TiMES NEW ROMAN"/>
        <family val="1"/>
      </rPr>
      <t xml:space="preserve">Electronics and Communication Engineering                                          </t>
    </r>
    <r>
      <rPr>
        <b/>
        <sz val="12"/>
        <color rgb="FF000000"/>
        <rFont val="TiMES NEW ROMAN"/>
        <family val="1"/>
      </rPr>
      <t>Name of the Course and code:</t>
    </r>
    <r>
      <rPr>
        <sz val="12"/>
        <color rgb="FF000000"/>
        <rFont val="TiMES NEW ROMAN"/>
        <family val="1"/>
      </rPr>
      <t xml:space="preserve"> PCB Design and Fabrication, 20EC41P</t>
    </r>
  </si>
  <si>
    <t xml:space="preserve">                            (VEENA  P N,L/EC)</t>
  </si>
  <si>
    <t xml:space="preserve">      (VEENA  P N,L/EC)</t>
  </si>
  <si>
    <r>
      <t xml:space="preserve">Name Of the Program: </t>
    </r>
    <r>
      <rPr>
        <sz val="8"/>
        <color rgb="FF000000"/>
        <rFont val="Times New Roman"/>
        <family val="1"/>
      </rPr>
      <t>ELECTRONICS &amp; COMMUNICATION ENGINEERING</t>
    </r>
    <r>
      <rPr>
        <b/>
        <sz val="8"/>
        <color rgb="FF000000"/>
        <rFont val="Times New Roman"/>
        <family val="1"/>
      </rPr>
      <t xml:space="preserve">    Name of the Course and code: </t>
    </r>
    <r>
      <rPr>
        <sz val="8"/>
        <color rgb="FF000000"/>
        <rFont val="Times New Roman"/>
        <family val="1"/>
      </rPr>
      <t>PCB Design and Fabrication, 20EC41P</t>
    </r>
  </si>
  <si>
    <r>
      <rPr>
        <b/>
        <sz val="12"/>
        <color rgb="FF000000"/>
        <rFont val="TiMES NEW ROMAN"/>
        <family val="1"/>
      </rPr>
      <t xml:space="preserve">Name Of the Program: </t>
    </r>
    <r>
      <rPr>
        <sz val="12"/>
        <color rgb="FF000000"/>
        <rFont val="TiMES NEW ROMAN"/>
        <family val="1"/>
      </rPr>
      <t xml:space="preserve">Electronics and Communication Engineering                                                    </t>
    </r>
    <r>
      <rPr>
        <b/>
        <sz val="12"/>
        <color rgb="FF000000"/>
        <rFont val="TiMES NEW ROMAN"/>
        <family val="1"/>
      </rPr>
      <t>Name of the Course and code:</t>
    </r>
    <r>
      <rPr>
        <sz val="12"/>
        <color rgb="FF000000"/>
        <rFont val="TiMES NEW ROMAN"/>
        <family val="1"/>
      </rPr>
      <t xml:space="preserve"> PCB Design and Fabrication, 20EC41P</t>
    </r>
  </si>
  <si>
    <r>
      <rPr>
        <b/>
        <sz val="12"/>
        <color rgb="FF000000"/>
        <rFont val="TiMES NEW ROMAN"/>
        <family val="1"/>
      </rPr>
      <t xml:space="preserve">Name Of the Program: </t>
    </r>
    <r>
      <rPr>
        <sz val="12"/>
        <color rgb="FF000000"/>
        <rFont val="TiMES NEW ROMAN"/>
        <family val="1"/>
      </rPr>
      <t xml:space="preserve">Electronics and Communication Engineering                                        </t>
    </r>
    <r>
      <rPr>
        <b/>
        <sz val="12"/>
        <color rgb="FF000000"/>
        <rFont val="TiMES NEW ROMAN"/>
        <family val="1"/>
      </rPr>
      <t>Name of the Course and code:</t>
    </r>
    <r>
      <rPr>
        <sz val="12"/>
        <color rgb="FF000000"/>
        <rFont val="TiMES NEW ROMAN"/>
        <family val="1"/>
      </rPr>
      <t xml:space="preserve"> PCB Design and Fabrication, 20EC41P</t>
    </r>
  </si>
  <si>
    <r>
      <t>Name Of the Program:</t>
    </r>
    <r>
      <rPr>
        <sz val="12"/>
        <color rgb="FF000000"/>
        <rFont val="TiMES NEW ROMAN"/>
        <family val="1"/>
      </rPr>
      <t>Electronics and Communication Engineering</t>
    </r>
    <r>
      <rPr>
        <b/>
        <sz val="12"/>
        <color rgb="FF000000"/>
        <rFont val="TiMES NEW ROMAN"/>
        <family val="1"/>
      </rPr>
      <t xml:space="preserve">                         Name of the Course and code: </t>
    </r>
    <r>
      <rPr>
        <sz val="12"/>
        <color rgb="FF000000"/>
        <rFont val="TiMES NEW ROMAN"/>
        <family val="1"/>
      </rPr>
      <t>PCB Design and Fabrication, 20EC41P</t>
    </r>
  </si>
  <si>
    <r>
      <rPr>
        <b/>
        <sz val="14"/>
        <color rgb="FF000000"/>
        <rFont val="Times New Roman"/>
        <family val="1"/>
      </rPr>
      <t>Name Of Institution:</t>
    </r>
    <r>
      <rPr>
        <sz val="14"/>
        <color rgb="FF000000"/>
        <rFont val="TiMES NEW ROMAN"/>
        <family val="1"/>
      </rPr>
      <t xml:space="preserve"> Government polytechnic, Sorab                                                                           </t>
    </r>
    <r>
      <rPr>
        <b/>
        <sz val="14"/>
        <color rgb="FF000000"/>
        <rFont val="Times New Roman"/>
        <family val="1"/>
      </rPr>
      <t>Inst. Code:</t>
    </r>
    <r>
      <rPr>
        <sz val="14"/>
        <color rgb="FF000000"/>
        <rFont val="TiMES NEW ROMAN"/>
        <family val="1"/>
      </rPr>
      <t xml:space="preserve"> 139                                      </t>
    </r>
  </si>
  <si>
    <r>
      <rPr>
        <b/>
        <sz val="14"/>
        <color rgb="FF000000"/>
        <rFont val="Times New Roman"/>
        <family val="1"/>
      </rPr>
      <t xml:space="preserve">Name Of the Program: </t>
    </r>
    <r>
      <rPr>
        <sz val="14"/>
        <color rgb="FF000000"/>
        <rFont val="TiMES NEW ROMAN"/>
        <family val="1"/>
      </rPr>
      <t xml:space="preserve">Electronics and Communication Engineering                                                 </t>
    </r>
    <r>
      <rPr>
        <b/>
        <sz val="14"/>
        <color rgb="FF000000"/>
        <rFont val="Times New Roman"/>
        <family val="1"/>
      </rPr>
      <t xml:space="preserve">Name of the Course and code: </t>
    </r>
    <r>
      <rPr>
        <sz val="14"/>
        <color rgb="FF000000"/>
        <rFont val="TiMES NEW ROMAN"/>
        <family val="1"/>
      </rPr>
      <t>PCB Design and Fabrication, 20EC41P</t>
    </r>
  </si>
  <si>
    <r>
      <rPr>
        <b/>
        <sz val="14"/>
        <color rgb="FF000000"/>
        <rFont val="Times New Roman"/>
        <family val="1"/>
      </rPr>
      <t>Course Co-ordinator:</t>
    </r>
    <r>
      <rPr>
        <sz val="14"/>
        <color rgb="FF000000"/>
        <rFont val="TiMES NEW ROMAN"/>
        <family val="1"/>
      </rPr>
      <t xml:space="preserve"> Mrs. VEENA P N                                                                                            </t>
    </r>
    <r>
      <rPr>
        <b/>
        <sz val="14"/>
        <color rgb="FF000000"/>
        <rFont val="Times New Roman"/>
        <family val="1"/>
      </rPr>
      <t xml:space="preserve"> CAY: </t>
    </r>
    <r>
      <rPr>
        <sz val="14"/>
        <color rgb="FF000000"/>
        <rFont val="TiMES NEW ROMAN"/>
        <family val="1"/>
      </rPr>
      <t xml:space="preserve">2021 - 2022                                          </t>
    </r>
    <r>
      <rPr>
        <b/>
        <sz val="14"/>
        <color rgb="FF000000"/>
        <rFont val="Times New Roman"/>
        <family val="1"/>
      </rPr>
      <t xml:space="preserve"> Credits:</t>
    </r>
    <r>
      <rPr>
        <sz val="14"/>
        <color rgb="FF000000"/>
        <rFont val="TiMES NEW ROMAN"/>
        <family val="1"/>
      </rPr>
      <t xml:space="preserve"> 6</t>
    </r>
  </si>
  <si>
    <t>20EC41P</t>
  </si>
  <si>
    <t>PCB Design and Fabrication</t>
  </si>
  <si>
    <t>Batch_2021-2022
April-August_2022</t>
  </si>
  <si>
    <t>PCB Design and Fabrication
(20EC41P)</t>
  </si>
  <si>
    <t>CO4</t>
  </si>
  <si>
    <t xml:space="preserve"> and </t>
  </si>
  <si>
    <t>CO2 - Draw the schematic and PCB layout for an analog circuit to be used for a given application.</t>
  </si>
  <si>
    <t>CO3 - Select the right components for a designed circuit, build the circuit and fabricate it using the appropriate tools following all necessary safety protocols.</t>
  </si>
  <si>
    <t>CO4 - Test the fabricated circuit, identify the problem and troubleshoot to ensure the circuit provides the desired output.</t>
  </si>
  <si>
    <t>AB</t>
  </si>
  <si>
    <t>Sign of Course Co-ordinator                                                                                   Sign of Program Co-ordinator                                                                                         Sign of Principal</t>
  </si>
  <si>
    <t>1,2,3,4</t>
  </si>
  <si>
    <t>CO1 - Identify different types of Printed Circuit Board (PCB), list the differences between them and
its adequacy for specific application.</t>
  </si>
  <si>
    <t>CO- 2,CO-3,
CO-4</t>
  </si>
  <si>
    <t>CO1, CO2,CO3,CO4</t>
  </si>
  <si>
    <t>Target
(17M)</t>
  </si>
  <si>
    <t>CO-04</t>
  </si>
  <si>
    <t>Q1</t>
  </si>
  <si>
    <t>Q2</t>
  </si>
  <si>
    <t>Y</t>
  </si>
  <si>
    <t>N</t>
  </si>
  <si>
    <t xml:space="preserve">1.2 +     = </t>
  </si>
  <si>
    <t>1.2 +     =</t>
  </si>
  <si>
    <t>Overall CO2 Attainment Level considering 40% of CIE and 60% of SEE</t>
  </si>
  <si>
    <t>Overall CO3 Attainment Level considering 40% of CIE and 60% of SEE</t>
  </si>
  <si>
    <t>Overall CO4 Attainment Level considering 40% of CIE and 60% of SEE</t>
  </si>
  <si>
    <t>Target 
(     )</t>
  </si>
  <si>
    <t>Target 
(    )</t>
  </si>
  <si>
    <r>
      <rPr>
        <b/>
        <sz val="12"/>
        <color rgb="FF000000"/>
        <rFont val="TiMES NEW ROMAN"/>
        <family val="1"/>
      </rPr>
      <t xml:space="preserve">Name Of the Program: </t>
    </r>
    <r>
      <rPr>
        <sz val="12"/>
        <color rgb="FF000000"/>
        <rFont val="TiMES NEW ROMAN"/>
        <family val="1"/>
      </rPr>
      <t xml:space="preserve">Electronics and Communication Engineering                                           </t>
    </r>
    <r>
      <rPr>
        <b/>
        <sz val="12"/>
        <color rgb="FF000000"/>
        <rFont val="TiMES NEW ROMAN"/>
        <family val="1"/>
      </rPr>
      <t>Name of the Course and code:</t>
    </r>
    <r>
      <rPr>
        <sz val="12"/>
        <color rgb="FF000000"/>
        <rFont val="TiMES NEW ROMAN"/>
        <family val="1"/>
      </rPr>
      <t xml:space="preserve"> PCB Design and Fabrication, 20EC41P</t>
    </r>
  </si>
  <si>
    <t>CO-2</t>
  </si>
  <si>
    <t>CO-3</t>
  </si>
  <si>
    <t>Target
(21M)</t>
  </si>
  <si>
    <t>Target
(53M)</t>
  </si>
  <si>
    <t>Target
(37M)</t>
  </si>
  <si>
    <t>C0-1&amp;CO- 2</t>
  </si>
  <si>
    <t>Average of 2 Skill tests</t>
  </si>
  <si>
    <t>Target marks Achieved (Y/N)</t>
  </si>
  <si>
    <r>
      <rPr>
        <b/>
        <sz val="12"/>
        <color rgb="FF000000"/>
        <rFont val="TiMES NEW ROMAN"/>
        <family val="1"/>
      </rPr>
      <t>Name Of Institution:</t>
    </r>
    <r>
      <rPr>
        <sz val="12"/>
        <color rgb="FF000000"/>
        <rFont val="TiMES NEW ROMAN"/>
        <family val="1"/>
      </rPr>
      <t xml:space="preserve"> Government polytechnic, Sorab                                                                            </t>
    </r>
    <r>
      <rPr>
        <b/>
        <sz val="12"/>
        <color rgb="FF000000"/>
        <rFont val="TiMES NEW ROMAN"/>
        <family val="1"/>
      </rPr>
      <t xml:space="preserve">                                                                                                   Inst. Code:</t>
    </r>
    <r>
      <rPr>
        <sz val="12"/>
        <color rgb="FF000000"/>
        <rFont val="TiMES NEW ROMAN"/>
        <family val="1"/>
      </rPr>
      <t xml:space="preserve"> 139                                      </t>
    </r>
  </si>
  <si>
    <t>Attainment of Course Outcome</t>
  </si>
  <si>
    <r>
      <rPr>
        <b/>
        <sz val="12"/>
        <color rgb="FF000000"/>
        <rFont val="TiMES NEW ROMAN"/>
        <family val="1"/>
      </rPr>
      <t>Course Co-ordinator:</t>
    </r>
    <r>
      <rPr>
        <sz val="12"/>
        <color rgb="FF000000"/>
        <rFont val="TiMES NEW ROMAN"/>
        <family val="1"/>
      </rPr>
      <t xml:space="preserve"> Ms.MEGHA R                                                                                 </t>
    </r>
    <r>
      <rPr>
        <b/>
        <sz val="12"/>
        <color rgb="FF000000"/>
        <rFont val="TiMES NEW ROMAN"/>
        <family val="1"/>
      </rPr>
      <t xml:space="preserve">CAY: </t>
    </r>
    <r>
      <rPr>
        <sz val="12"/>
        <color rgb="FF000000"/>
        <rFont val="TiMES NEW ROMAN"/>
        <family val="1"/>
      </rPr>
      <t xml:space="preserve">2024-2025                </t>
    </r>
    <r>
      <rPr>
        <b/>
        <sz val="12"/>
        <color rgb="FF000000"/>
        <rFont val="TiMES NEW ROMAN"/>
        <family val="1"/>
      </rPr>
      <t xml:space="preserve">                                                                    Credits:</t>
    </r>
    <r>
      <rPr>
        <sz val="12"/>
        <color rgb="FF000000"/>
        <rFont val="TiMES NEW ROMAN"/>
        <family val="1"/>
      </rPr>
      <t xml:space="preserve"> 6</t>
    </r>
  </si>
  <si>
    <t>139EC24001</t>
  </si>
  <si>
    <t>139EC24002</t>
  </si>
  <si>
    <t>139EC24003</t>
  </si>
  <si>
    <t>139EC24004</t>
  </si>
  <si>
    <t>139EC24005</t>
  </si>
  <si>
    <t>139EC24006</t>
  </si>
  <si>
    <t>139EC24007</t>
  </si>
  <si>
    <t>139EC24008</t>
  </si>
  <si>
    <t>139EC24009</t>
  </si>
  <si>
    <t>139EC24010</t>
  </si>
  <si>
    <t>139EC24011</t>
  </si>
  <si>
    <t>139EC24012</t>
  </si>
  <si>
    <t>139EC24013</t>
  </si>
  <si>
    <t>139EC24014</t>
  </si>
  <si>
    <t>139EC24015</t>
  </si>
  <si>
    <t>139EC24016</t>
  </si>
  <si>
    <t>139EC24017</t>
  </si>
  <si>
    <t>139EC24018</t>
  </si>
  <si>
    <t>139EC24019</t>
  </si>
  <si>
    <t>139EC24020</t>
  </si>
  <si>
    <t>139EC24021</t>
  </si>
  <si>
    <t>139EC24022</t>
  </si>
  <si>
    <t>139EC24023</t>
  </si>
  <si>
    <t>139EC24024</t>
  </si>
  <si>
    <t>ADARSHA U</t>
  </si>
  <si>
    <t>AFTAB AHMED N A</t>
  </si>
  <si>
    <t>ANU NAIK</t>
  </si>
  <si>
    <t>ANUSHA U</t>
  </si>
  <si>
    <t>ANUSUYA B H</t>
  </si>
  <si>
    <t>ARAVINDA S</t>
  </si>
  <si>
    <t>ARUNKUMAR P</t>
  </si>
  <si>
    <t>BHARATHA T S</t>
  </si>
  <si>
    <t>BHAVANA C</t>
  </si>
  <si>
    <t>DILEEPA S H</t>
  </si>
  <si>
    <t>DIVYA B S</t>
  </si>
  <si>
    <t>GURURAJ H S</t>
  </si>
  <si>
    <t>HARSHA P NAIK</t>
  </si>
  <si>
    <t>JAISON VARGEESE</t>
  </si>
  <si>
    <t>JAYANT SURESH MADIVAL</t>
  </si>
  <si>
    <t>JEEVAN V</t>
  </si>
  <si>
    <t>KRISHNAMURTHI R</t>
  </si>
  <si>
    <t>LIKITHMURTHY K</t>
  </si>
  <si>
    <t>LOHITH VEERABHADRAYYA ARADHYAMATHA</t>
  </si>
  <si>
    <t>MADAN SHRIKANT REVANKAR</t>
  </si>
  <si>
    <t>MALLESHAPPA C</t>
  </si>
  <si>
    <t>MOHAMMAD FAHAD</t>
  </si>
  <si>
    <t>MOHANA H J</t>
  </si>
  <si>
    <t>NITHIN RAO M</t>
  </si>
  <si>
    <t>ANS</t>
  </si>
  <si>
    <t>139EC24025</t>
  </si>
  <si>
    <t>139EC24026</t>
  </si>
  <si>
    <t>139EC24027</t>
  </si>
  <si>
    <t>139EC24028</t>
  </si>
  <si>
    <t>139EC24029</t>
  </si>
  <si>
    <t>139EC24030</t>
  </si>
  <si>
    <t>139EC24031</t>
  </si>
  <si>
    <t>139EC24032</t>
  </si>
  <si>
    <t>139EC24033</t>
  </si>
  <si>
    <t>139EC24034</t>
  </si>
  <si>
    <t>139EC24035</t>
  </si>
  <si>
    <t>139EC24036</t>
  </si>
  <si>
    <t>139EC24037</t>
  </si>
  <si>
    <t>139EC24038</t>
  </si>
  <si>
    <t>139EC24039</t>
  </si>
  <si>
    <t>139EC24040</t>
  </si>
  <si>
    <t>139EC24041</t>
  </si>
  <si>
    <t>139EC24042</t>
  </si>
  <si>
    <t>139EC24043</t>
  </si>
  <si>
    <t>139EC24044</t>
  </si>
  <si>
    <t>139EC24045</t>
  </si>
  <si>
    <t>139EC24046</t>
  </si>
  <si>
    <t>139EC24047</t>
  </si>
  <si>
    <t>139EC24048</t>
  </si>
  <si>
    <t>139EC24049</t>
  </si>
  <si>
    <t>139EC24050</t>
  </si>
  <si>
    <t>139EC24051</t>
  </si>
  <si>
    <t>139EC24052</t>
  </si>
  <si>
    <t>139EC24053</t>
  </si>
  <si>
    <t>139EC24054</t>
  </si>
  <si>
    <t>139EC24055</t>
  </si>
  <si>
    <t>139EC24056</t>
  </si>
  <si>
    <t>139EC24057</t>
  </si>
  <si>
    <t>139EC24058</t>
  </si>
  <si>
    <t>PAVANKUMARA L K</t>
  </si>
  <si>
    <t>PRADEEP H</t>
  </si>
  <si>
    <t>PRAJWAL N</t>
  </si>
  <si>
    <t>PRAJWAL V</t>
  </si>
  <si>
    <t>PREETHAM H M</t>
  </si>
  <si>
    <t>RAGHUNANDAN M</t>
  </si>
  <si>
    <t>RAJATH J V</t>
  </si>
  <si>
    <t>RAJEEV V R</t>
  </si>
  <si>
    <t>RAKSHITA SUDHAKAR NAIK</t>
  </si>
  <si>
    <t>RAKSHITHA U</t>
  </si>
  <si>
    <t>REVATHI S</t>
  </si>
  <si>
    <t>SACHIN D T</t>
  </si>
  <si>
    <t>SAHANA M M</t>
  </si>
  <si>
    <t>SAHANA SOMASHEKHAR NAIK</t>
  </si>
  <si>
    <t>SANKETHA K</t>
  </si>
  <si>
    <t>SAYED RAYYAN SAYED RIYAZ</t>
  </si>
  <si>
    <t>SHARATH V</t>
  </si>
  <si>
    <t>SHASHANKA G G</t>
  </si>
  <si>
    <t>SHASHIKALA C</t>
  </si>
  <si>
    <t>SHOBITA NAIK</t>
  </si>
  <si>
    <t>SHREYAS C</t>
  </si>
  <si>
    <t>SHREYAS M V</t>
  </si>
  <si>
    <t>SPANDANA R</t>
  </si>
  <si>
    <t>SUPRIYA</t>
  </si>
  <si>
    <t>TARUN H N</t>
  </si>
  <si>
    <t>ULLAS M K</t>
  </si>
  <si>
    <t>USHA</t>
  </si>
  <si>
    <t>VARUN KUMAR H</t>
  </si>
  <si>
    <t>VASANTH KUMAR P NAIK</t>
  </si>
  <si>
    <t>VENKATESHA S</t>
  </si>
  <si>
    <t>VIJETH VINAY HEGDE</t>
  </si>
  <si>
    <t>VINAY PURUSHOTTAM NAIK</t>
  </si>
  <si>
    <t>VISHWANATH SHANKRAPPA DUDIHALLI</t>
  </si>
  <si>
    <t>YUVARAJA G R</t>
  </si>
  <si>
    <r>
      <rPr>
        <b/>
        <sz val="12"/>
        <color rgb="FF000000"/>
        <rFont val="TiMES NEW ROMAN"/>
        <family val="1"/>
      </rPr>
      <t xml:space="preserve">Name Of the Program: </t>
    </r>
    <r>
      <rPr>
        <sz val="12"/>
        <color rgb="FF000000"/>
        <rFont val="TiMES NEW ROMAN"/>
        <family val="1"/>
      </rPr>
      <t xml:space="preserve">Electronics and Communication Engineering                                                                                       </t>
    </r>
    <r>
      <rPr>
        <b/>
        <sz val="12"/>
        <color rgb="FF000000"/>
        <rFont val="TiMES NEW ROMAN"/>
        <family val="1"/>
      </rPr>
      <t>Name of the Course and code:</t>
    </r>
    <r>
      <rPr>
        <sz val="12"/>
        <color rgb="FF000000"/>
        <rFont val="TiMES NEW ROMAN"/>
        <family val="1"/>
      </rPr>
      <t>Environmental sustainability(20AU01T)</t>
    </r>
  </si>
  <si>
    <t>139EC23044</t>
  </si>
  <si>
    <t>PAVAN M</t>
  </si>
  <si>
    <t>CO-3,
CO-4</t>
  </si>
  <si>
    <t>CO-1,CO-2</t>
  </si>
  <si>
    <t>CO-1,CO-2 CO-3,
CO-4</t>
  </si>
  <si>
    <t>NIKHIL V H</t>
  </si>
  <si>
    <t>PRADEEPA S</t>
  </si>
  <si>
    <t>VEERESHA S B</t>
  </si>
  <si>
    <t>MEGHARAJA B H</t>
  </si>
  <si>
    <t>NAGARAJ BASAYYA MATHAD</t>
  </si>
  <si>
    <r>
      <rPr>
        <b/>
        <sz val="12"/>
        <color rgb="FF000000"/>
        <rFont val="TiMES NEW ROMAN"/>
        <family val="1"/>
      </rPr>
      <t xml:space="preserve">Name Of the Program: </t>
    </r>
    <r>
      <rPr>
        <sz val="12"/>
        <color rgb="FF000000"/>
        <rFont val="TiMES NEW ROMAN"/>
        <family val="1"/>
      </rPr>
      <t xml:space="preserve">Electronics and Communication Engineering                                                                                       </t>
    </r>
    <r>
      <rPr>
        <b/>
        <sz val="12"/>
        <color rgb="FF000000"/>
        <rFont val="TiMES NEW ROMAN"/>
        <family val="1"/>
      </rPr>
      <t>Name of the Course and code</t>
    </r>
    <r>
      <rPr>
        <sz val="12"/>
        <color rgb="FF000000"/>
        <rFont val="TiMES NEW ROMAN"/>
        <family val="1"/>
      </rPr>
      <t>:Communication system (20EC33P)</t>
    </r>
  </si>
  <si>
    <r>
      <rPr>
        <b/>
        <sz val="12"/>
        <color rgb="FF000000"/>
        <rFont val="TiMES NEW ROMAN"/>
        <family val="1"/>
      </rPr>
      <t>Course Co-ordinator:</t>
    </r>
    <r>
      <rPr>
        <sz val="12"/>
        <color rgb="FF000000"/>
        <rFont val="TiMES NEW ROMAN"/>
        <family val="1"/>
      </rPr>
      <t xml:space="preserve"> Ms.MEGHA R                                                                                 </t>
    </r>
    <r>
      <rPr>
        <b/>
        <sz val="12"/>
        <color rgb="FF000000"/>
        <rFont val="TiMES NEW ROMAN"/>
        <family val="1"/>
      </rPr>
      <t xml:space="preserve">CAY: </t>
    </r>
    <r>
      <rPr>
        <sz val="12"/>
        <color rgb="FF000000"/>
        <rFont val="TiMES NEW ROMAN"/>
        <family val="1"/>
      </rPr>
      <t xml:space="preserve">2025-2026                </t>
    </r>
    <r>
      <rPr>
        <b/>
        <sz val="12"/>
        <color rgb="FF000000"/>
        <rFont val="TiMES NEW ROMAN"/>
        <family val="1"/>
      </rPr>
      <t xml:space="preserve">                                                                    Credits:</t>
    </r>
    <r>
      <rPr>
        <sz val="12"/>
        <color rgb="FF000000"/>
        <rFont val="TiMES NEW ROMAN"/>
        <family val="1"/>
      </rPr>
      <t xml:space="preserve"> 4</t>
    </r>
  </si>
  <si>
    <t>Skill test 1</t>
  </si>
  <si>
    <t>Skill test 2</t>
  </si>
  <si>
    <t>Average of skill test</t>
  </si>
  <si>
    <t xml:space="preserve">Portfolio Evaluation </t>
  </si>
  <si>
    <t>Theory test 1</t>
  </si>
  <si>
    <t>Practice test 1</t>
  </si>
  <si>
    <t>Theory test 2</t>
  </si>
  <si>
    <t>Practice test 2</t>
  </si>
  <si>
    <r>
      <rPr>
        <b/>
        <sz val="12"/>
        <color rgb="FF000000"/>
        <rFont val="TiMES NEW ROMAN"/>
        <family val="1"/>
      </rPr>
      <t xml:space="preserve">Name Of the Program: </t>
    </r>
    <r>
      <rPr>
        <sz val="12"/>
        <color rgb="FF000000"/>
        <rFont val="TiMES NEW ROMAN"/>
        <family val="1"/>
      </rPr>
      <t xml:space="preserve">Electronics and Communication Engineering                                                                                       </t>
    </r>
    <r>
      <rPr>
        <b/>
        <sz val="12"/>
        <color rgb="FF000000"/>
        <rFont val="TiMES NEW ROMAN"/>
        <family val="1"/>
      </rPr>
      <t>Name of the Course and code</t>
    </r>
    <r>
      <rPr>
        <sz val="12"/>
        <color rgb="FF000000"/>
        <rFont val="TiMES NEW ROMAN"/>
        <family val="1"/>
      </rPr>
      <t>:Digital electronics(25EC11I)</t>
    </r>
  </si>
  <si>
    <t>AMOGHAGIRI M</t>
  </si>
  <si>
    <t>AMRUTHA H G</t>
  </si>
  <si>
    <t>BINDUSHREE V</t>
  </si>
  <si>
    <t>CHETHAN BANGARAPPA HARATI</t>
  </si>
  <si>
    <t>CHETHAN D N</t>
  </si>
  <si>
    <t>CHETHAN M M</t>
  </si>
  <si>
    <t>DEEPAK A J</t>
  </si>
  <si>
    <t>DHANYASHREE K</t>
  </si>
  <si>
    <t>DIGANTH M</t>
  </si>
  <si>
    <t>DIKSHITH M K</t>
  </si>
  <si>
    <t>GAGANA V</t>
  </si>
  <si>
    <t>GANESH KANTHESH 
HASANABADI</t>
  </si>
  <si>
    <t>GIRIJA</t>
  </si>
  <si>
    <t>GOUTHAMA P</t>
  </si>
  <si>
    <t>INDRAMMA M</t>
  </si>
  <si>
    <t>JAYAVANTHA A</t>
  </si>
  <si>
    <t>K MOHAMMED ISMAIL</t>
  </si>
  <si>
    <t>KARTHIK D K</t>
  </si>
  <si>
    <t>KARTHIKA D</t>
  </si>
  <si>
    <t>KIRAN M</t>
  </si>
  <si>
    <t>LIKHITHA S</t>
  </si>
  <si>
    <t>MAHESHA GOWDA PATIL</t>
  </si>
  <si>
    <t>MANJUNATHA G B</t>
  </si>
  <si>
    <t>MANJUNATHA K R</t>
  </si>
  <si>
    <t>MANJUNATHA N D</t>
  </si>
  <si>
    <t>MANOJ KUMAR M H</t>
  </si>
  <si>
    <t>MURALI S K</t>
  </si>
  <si>
    <t>NAGARAJA A</t>
  </si>
  <si>
    <t>NAVEEN T</t>
  </si>
  <si>
    <t>NAYANA DEVARAJ NAIK</t>
  </si>
  <si>
    <t>NITHIN G A</t>
  </si>
  <si>
    <t>NITHIN N</t>
  </si>
  <si>
    <t>NUTHAN S</t>
  </si>
  <si>
    <t>PRAJWAL C H</t>
  </si>
  <si>
    <t>PRAJWAL M T</t>
  </si>
  <si>
    <t>PRAMODA R</t>
  </si>
  <si>
    <t>PRANAV R SHET</t>
  </si>
  <si>
    <t>PRATHIKSHA H C</t>
  </si>
  <si>
    <t>PREETHAM R</t>
  </si>
  <si>
    <t>RAJEEV RAGHAVENDRA NAIK</t>
  </si>
  <si>
    <t>RAKESHA H</t>
  </si>
  <si>
    <t>RAMYA K</t>
  </si>
  <si>
    <t>SANJAY U</t>
  </si>
  <si>
    <t>SANJAYA J R</t>
  </si>
  <si>
    <t>SHARAT K</t>
  </si>
  <si>
    <t>SHARATH U M</t>
  </si>
  <si>
    <t>SHASHANK K M</t>
  </si>
  <si>
    <t>SHASHANKA D P</t>
  </si>
  <si>
    <t>SHASHANKA K S</t>
  </si>
  <si>
    <t>SIDDESHA G N</t>
  </si>
  <si>
    <t>SINCHANA M M</t>
  </si>
  <si>
    <t>SINDHU NAGARJ HASLAR</t>
  </si>
  <si>
    <t>SOUJANYA L T</t>
  </si>
  <si>
    <t>SPANDANA</t>
  </si>
  <si>
    <t>SRINIVASA S</t>
  </si>
  <si>
    <t>SUMANTH S</t>
  </si>
  <si>
    <t>TARUN H U</t>
  </si>
  <si>
    <t>TARUN L K</t>
  </si>
  <si>
    <t>TILAK N</t>
  </si>
  <si>
    <t>TOUSIFA</t>
  </si>
  <si>
    <t>VINAY H S</t>
  </si>
  <si>
    <t>YOGESHA GURUPUTRAYYA HULASOGIMATHA</t>
  </si>
  <si>
    <t>139EC250</t>
  </si>
  <si>
    <r>
      <rPr>
        <b/>
        <sz val="12"/>
        <color rgb="FF000000"/>
        <rFont val="TiMES NEW ROMAN"/>
        <family val="1"/>
      </rPr>
      <t>Course Co-ordinator:</t>
    </r>
    <r>
      <rPr>
        <sz val="12"/>
        <color rgb="FF000000"/>
        <rFont val="TiMES NEW ROMAN"/>
        <family val="1"/>
      </rPr>
      <t xml:space="preserve"> Ms.MEGHA R                                                                                 </t>
    </r>
    <r>
      <rPr>
        <b/>
        <sz val="12"/>
        <color rgb="FF000000"/>
        <rFont val="TiMES NEW ROMAN"/>
        <family val="1"/>
      </rPr>
      <t xml:space="preserve">CAY: </t>
    </r>
    <r>
      <rPr>
        <sz val="12"/>
        <color rgb="FF000000"/>
        <rFont val="TiMES NEW ROMAN"/>
        <family val="1"/>
      </rPr>
      <t xml:space="preserve">2025-2026                </t>
    </r>
    <r>
      <rPr>
        <b/>
        <sz val="12"/>
        <color rgb="FF000000"/>
        <rFont val="TiMES NEW ROMAN"/>
        <family val="1"/>
      </rPr>
      <t xml:space="preserve">                                                                    Credits:6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</si>
</sst>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0"/>
      <color theme="1"/>
      <name val="Times New Roman"/>
      <family val="1"/>
    </font>
    <font>
      <b/>
      <sz val="14"/>
      <color theme="1"/>
      <name val="Times New Roman"/>
      <family val="1"/>
    </font>
    <font>
      <b/>
      <sz val="12"/>
      <name val="Times New Roman"/>
      <family val="1"/>
    </font>
    <font>
      <sz val="10"/>
      <name val="Times New Roman"/>
      <family val="1"/>
    </font>
    <font>
      <b/>
      <sz val="12"/>
      <color rgb="FF201D1E"/>
      <name val="Times New Roman"/>
      <family val="1"/>
    </font>
    <font>
      <b/>
      <sz val="18"/>
      <color theme="1"/>
      <name val="Times New Roman"/>
      <family val="1"/>
    </font>
    <font>
      <b/>
      <sz val="10"/>
      <color theme="1"/>
      <name val="Times New Roman"/>
      <family val="1"/>
    </font>
    <font>
      <b/>
      <sz val="11"/>
      <color rgb="FFFF0000"/>
      <name val="Times New Roman"/>
      <family val="1"/>
    </font>
    <font>
      <b/>
      <sz val="12"/>
      <color rgb="FF000000"/>
      <name val="TiMES NEW ROMAN"/>
      <family val="1"/>
    </font>
    <font>
      <b/>
      <u/>
      <sz val="16"/>
      <color rgb="FF000000"/>
      <name val="Times New Roman"/>
      <family val="1"/>
    </font>
    <font>
      <b/>
      <sz val="18"/>
      <color rgb="FF000000"/>
      <name val="Calibri"/>
      <family val="2"/>
      <charset val="204"/>
    </font>
    <font>
      <b/>
      <sz val="8"/>
      <color rgb="FF000000"/>
      <name val="Times New Roman"/>
      <family val="1"/>
    </font>
    <font>
      <b/>
      <sz val="14"/>
      <color rgb="FF000000"/>
      <name val="Times New Roman"/>
      <family val="1"/>
    </font>
    <font>
      <sz val="12"/>
      <color rgb="FF000000"/>
      <name val="Calibri"/>
      <family val="2"/>
      <charset val="204"/>
    </font>
    <font>
      <b/>
      <sz val="10"/>
      <color rgb="FF000000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sz val="12"/>
      <color rgb="FF000000"/>
      <name val="TiMES NEW ROMAN"/>
      <family val="1"/>
    </font>
    <font>
      <b/>
      <u/>
      <sz val="12"/>
      <color theme="1"/>
      <name val="Times New Roman"/>
      <family val="1"/>
    </font>
    <font>
      <sz val="14"/>
      <color theme="1"/>
      <name val="Times New Roman"/>
      <family val="1"/>
    </font>
    <font>
      <sz val="8"/>
      <color rgb="FF000000"/>
      <name val="Times New Roman"/>
      <family val="1"/>
    </font>
    <font>
      <sz val="10"/>
      <name val="Arial"/>
      <family val="2"/>
    </font>
    <font>
      <sz val="14"/>
      <color rgb="FF000000"/>
      <name val="TiMES NEW ROMAN"/>
      <family val="1"/>
    </font>
    <font>
      <sz val="14"/>
      <color rgb="FF000000"/>
      <name val="Calibri"/>
      <family val="2"/>
      <charset val="204"/>
    </font>
    <font>
      <b/>
      <u/>
      <sz val="14"/>
      <color theme="1"/>
      <name val="Times New Roman"/>
      <family val="1"/>
    </font>
    <font>
      <sz val="12"/>
      <color rgb="FF201D1E"/>
      <name val="Times New Roman"/>
      <family val="1"/>
    </font>
    <font>
      <b/>
      <sz val="14"/>
      <name val="Times New Roman"/>
      <family val="1"/>
    </font>
    <font>
      <b/>
      <sz val="14"/>
      <color theme="1"/>
      <name val="Calibri"/>
      <family val="2"/>
      <scheme val="minor"/>
    </font>
    <font>
      <sz val="14"/>
      <name val="Times New Roman"/>
      <family val="1"/>
    </font>
    <font>
      <sz val="16"/>
      <color theme="1"/>
      <name val="Times New Roman"/>
      <family val="1"/>
    </font>
    <font>
      <sz val="16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7" fillId="0" borderId="0"/>
  </cellStyleXfs>
  <cellXfs count="342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1" xfId="0" applyBorder="1"/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vertical="center"/>
    </xf>
    <xf numFmtId="0" fontId="0" fillId="0" borderId="0" xfId="0" applyBorder="1"/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 wrapText="1"/>
    </xf>
    <xf numFmtId="0" fontId="4" fillId="0" borderId="1" xfId="0" applyFont="1" applyBorder="1"/>
    <xf numFmtId="0" fontId="6" fillId="0" borderId="1" xfId="0" applyFont="1" applyBorder="1" applyAlignment="1">
      <alignment horizontal="center" vertical="center" wrapText="1"/>
    </xf>
    <xf numFmtId="0" fontId="9" fillId="0" borderId="1" xfId="0" applyNumberFormat="1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left" vertical="center"/>
    </xf>
    <xf numFmtId="0" fontId="4" fillId="2" borderId="1" xfId="0" applyFont="1" applyFill="1" applyBorder="1"/>
    <xf numFmtId="0" fontId="2" fillId="0" borderId="0" xfId="0" applyFont="1"/>
    <xf numFmtId="0" fontId="10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5" fillId="2" borderId="1" xfId="0" applyFont="1" applyFill="1" applyBorder="1" applyAlignment="1">
      <alignment vertical="center"/>
    </xf>
    <xf numFmtId="0" fontId="5" fillId="0" borderId="1" xfId="0" applyFont="1" applyBorder="1" applyAlignment="1">
      <alignment vertical="center"/>
    </xf>
    <xf numFmtId="0" fontId="5" fillId="2" borderId="1" xfId="0" applyFont="1" applyFill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0" fillId="0" borderId="1" xfId="0" applyBorder="1" applyAlignment="1">
      <alignment vertical="center"/>
    </xf>
    <xf numFmtId="0" fontId="13" fillId="0" borderId="1" xfId="0" applyFont="1" applyBorder="1" applyAlignment="1">
      <alignment vertical="center"/>
    </xf>
    <xf numFmtId="0" fontId="4" fillId="2" borderId="1" xfId="0" applyFont="1" applyFill="1" applyBorder="1" applyAlignment="1">
      <alignment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8" fillId="0" borderId="0" xfId="0" applyFont="1" applyBorder="1" applyAlignment="1">
      <alignment vertical="center"/>
    </xf>
    <xf numFmtId="0" fontId="19" fillId="0" borderId="0" xfId="0" applyFont="1"/>
    <xf numFmtId="0" fontId="5" fillId="0" borderId="0" xfId="0" applyFont="1" applyAlignment="1"/>
    <xf numFmtId="0" fontId="6" fillId="0" borderId="0" xfId="0" applyFont="1" applyAlignment="1"/>
    <xf numFmtId="0" fontId="21" fillId="4" borderId="1" xfId="0" applyFont="1" applyFill="1" applyBorder="1" applyAlignment="1">
      <alignment horizontal="center" vertical="center"/>
    </xf>
    <xf numFmtId="0" fontId="22" fillId="4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0" fillId="2" borderId="0" xfId="0" applyFill="1"/>
    <xf numFmtId="0" fontId="6" fillId="2" borderId="1" xfId="0" applyFont="1" applyFill="1" applyBorder="1" applyAlignment="1">
      <alignment horizontal="left" vertical="center" wrapText="1"/>
    </xf>
    <xf numFmtId="21" fontId="6" fillId="0" borderId="1" xfId="0" applyNumberFormat="1" applyFont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0" fillId="2" borderId="0" xfId="0" applyFill="1" applyBorder="1"/>
    <xf numFmtId="0" fontId="5" fillId="2" borderId="0" xfId="0" applyFont="1" applyFill="1" applyBorder="1" applyAlignment="1">
      <alignment horizontal="center" vertical="center"/>
    </xf>
    <xf numFmtId="2" fontId="4" fillId="2" borderId="1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horizontal="left"/>
    </xf>
    <xf numFmtId="0" fontId="7" fillId="0" borderId="1" xfId="0" applyFont="1" applyBorder="1" applyAlignment="1">
      <alignment horizontal="center" vertical="center"/>
    </xf>
    <xf numFmtId="0" fontId="3" fillId="2" borderId="0" xfId="0" applyFont="1" applyFill="1"/>
    <xf numFmtId="0" fontId="7" fillId="2" borderId="0" xfId="0" applyFont="1" applyFill="1"/>
    <xf numFmtId="0" fontId="1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12" fillId="2" borderId="1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21" fillId="0" borderId="1" xfId="1" applyNumberFormat="1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>
      <alignment horizontal="center" vertical="center"/>
    </xf>
    <xf numFmtId="0" fontId="4" fillId="2" borderId="0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vertical="center"/>
    </xf>
    <xf numFmtId="2" fontId="4" fillId="2" borderId="0" xfId="0" applyNumberFormat="1" applyFont="1" applyFill="1" applyBorder="1" applyAlignment="1">
      <alignment horizontal="center" vertical="center"/>
    </xf>
    <xf numFmtId="0" fontId="29" fillId="0" borderId="0" xfId="0" applyFont="1"/>
    <xf numFmtId="0" fontId="7" fillId="0" borderId="1" xfId="0" applyFont="1" applyBorder="1" applyAlignment="1">
      <alignment horizontal="center" vertical="center" wrapText="1"/>
    </xf>
    <xf numFmtId="0" fontId="25" fillId="2" borderId="1" xfId="0" applyFont="1" applyFill="1" applyBorder="1" applyAlignment="1">
      <alignment horizontal="center" vertical="center"/>
    </xf>
    <xf numFmtId="0" fontId="25" fillId="2" borderId="1" xfId="0" applyFont="1" applyFill="1" applyBorder="1" applyAlignment="1">
      <alignment vertical="center"/>
    </xf>
    <xf numFmtId="2" fontId="25" fillId="2" borderId="1" xfId="0" applyNumberFormat="1" applyFont="1" applyFill="1" applyBorder="1" applyAlignment="1">
      <alignment horizontal="center" vertical="center"/>
    </xf>
    <xf numFmtId="0" fontId="25" fillId="2" borderId="1" xfId="0" applyFont="1" applyFill="1" applyBorder="1" applyAlignment="1">
      <alignment horizontal="left" vertical="center"/>
    </xf>
    <xf numFmtId="0" fontId="25" fillId="2" borderId="1" xfId="0" applyFont="1" applyFill="1" applyBorder="1" applyAlignment="1">
      <alignment vertical="center" wrapText="1"/>
    </xf>
    <xf numFmtId="0" fontId="31" fillId="2" borderId="1" xfId="0" applyFont="1" applyFill="1" applyBorder="1" applyAlignment="1">
      <alignment horizontal="center" vertical="center" wrapText="1"/>
    </xf>
    <xf numFmtId="0" fontId="21" fillId="2" borderId="1" xfId="1" applyNumberFormat="1" applyFont="1" applyFill="1" applyBorder="1" applyAlignment="1" applyProtection="1">
      <alignment horizontal="center" vertical="center"/>
      <protection locked="0"/>
    </xf>
    <xf numFmtId="2" fontId="4" fillId="3" borderId="1" xfId="0" applyNumberFormat="1" applyFont="1" applyFill="1" applyBorder="1" applyAlignment="1">
      <alignment horizontal="center" vertical="center"/>
    </xf>
    <xf numFmtId="2" fontId="4" fillId="0" borderId="2" xfId="0" applyNumberFormat="1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/>
    </xf>
    <xf numFmtId="2" fontId="2" fillId="2" borderId="4" xfId="0" applyNumberFormat="1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7" fillId="2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right"/>
    </xf>
    <xf numFmtId="0" fontId="5" fillId="3" borderId="10" xfId="0" applyFont="1" applyFill="1" applyBorder="1" applyAlignment="1">
      <alignment horizontal="center" vertical="center"/>
    </xf>
    <xf numFmtId="0" fontId="21" fillId="0" borderId="5" xfId="0" applyFont="1" applyBorder="1" applyAlignment="1">
      <alignment horizontal="center" vertical="center"/>
    </xf>
    <xf numFmtId="0" fontId="3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/>
    </xf>
    <xf numFmtId="0" fontId="5" fillId="4" borderId="9" xfId="0" applyFont="1" applyFill="1" applyBorder="1" applyAlignment="1">
      <alignment horizontal="center" vertical="center"/>
    </xf>
    <xf numFmtId="0" fontId="5" fillId="5" borderId="14" xfId="0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32" fillId="0" borderId="10" xfId="0" applyFont="1" applyBorder="1" applyAlignment="1">
      <alignment horizontal="center" vertical="center"/>
    </xf>
    <xf numFmtId="0" fontId="0" fillId="0" borderId="3" xfId="0" applyBorder="1"/>
    <xf numFmtId="0" fontId="2" fillId="0" borderId="10" xfId="0" applyFont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32" fillId="0" borderId="4" xfId="0" applyFont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5" fillId="0" borderId="12" xfId="0" applyFont="1" applyBorder="1" applyAlignment="1"/>
    <xf numFmtId="0" fontId="6" fillId="0" borderId="12" xfId="0" applyFont="1" applyBorder="1" applyAlignment="1"/>
    <xf numFmtId="0" fontId="0" fillId="0" borderId="12" xfId="0" applyBorder="1"/>
    <xf numFmtId="0" fontId="4" fillId="0" borderId="0" xfId="0" applyNumberFormat="1" applyFont="1" applyProtection="1">
      <protection locked="0"/>
    </xf>
    <xf numFmtId="0" fontId="4" fillId="0" borderId="3" xfId="0" applyNumberFormat="1" applyFont="1" applyBorder="1" applyProtection="1">
      <protection locked="0"/>
    </xf>
    <xf numFmtId="0" fontId="4" fillId="0" borderId="1" xfId="0" applyNumberFormat="1" applyFont="1" applyBorder="1" applyProtection="1">
      <protection locked="0"/>
    </xf>
    <xf numFmtId="0" fontId="4" fillId="0" borderId="12" xfId="0" applyNumberFormat="1" applyFont="1" applyBorder="1" applyProtection="1">
      <protection locked="0"/>
    </xf>
    <xf numFmtId="0" fontId="4" fillId="0" borderId="0" xfId="0" applyNumberFormat="1" applyFont="1" applyBorder="1" applyProtection="1">
      <protection locked="0"/>
    </xf>
    <xf numFmtId="0" fontId="3" fillId="2" borderId="0" xfId="0" applyFont="1" applyFill="1" applyBorder="1"/>
    <xf numFmtId="0" fontId="7" fillId="2" borderId="0" xfId="0" applyFont="1" applyFill="1" applyBorder="1"/>
    <xf numFmtId="0" fontId="4" fillId="0" borderId="1" xfId="0" applyFont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33" fillId="0" borderId="1" xfId="0" applyFont="1" applyBorder="1" applyAlignment="1">
      <alignment horizontal="center"/>
    </xf>
    <xf numFmtId="0" fontId="33" fillId="0" borderId="5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5" fillId="5" borderId="9" xfId="0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7" fillId="0" borderId="10" xfId="0" applyFont="1" applyBorder="1" applyAlignment="1">
      <alignment horizontal="center"/>
    </xf>
    <xf numFmtId="0" fontId="0" fillId="0" borderId="0" xfId="0" applyBorder="1" applyAlignment="1">
      <alignment vertical="center"/>
    </xf>
    <xf numFmtId="0" fontId="1" fillId="0" borderId="0" xfId="0" applyFont="1" applyBorder="1" applyAlignment="1">
      <alignment vertical="center"/>
    </xf>
    <xf numFmtId="0" fontId="16" fillId="0" borderId="0" xfId="0" applyFont="1" applyBorder="1"/>
    <xf numFmtId="0" fontId="19" fillId="0" borderId="0" xfId="0" applyFont="1" applyBorder="1"/>
    <xf numFmtId="0" fontId="32" fillId="0" borderId="1" xfId="0" applyFont="1" applyBorder="1" applyAlignment="1">
      <alignment vertical="center"/>
    </xf>
    <xf numFmtId="0" fontId="5" fillId="0" borderId="0" xfId="0" applyFont="1" applyBorder="1" applyAlignment="1"/>
    <xf numFmtId="0" fontId="5" fillId="0" borderId="0" xfId="0" applyFont="1" applyBorder="1" applyAlignment="1">
      <alignment horizontal="right"/>
    </xf>
    <xf numFmtId="0" fontId="6" fillId="0" borderId="0" xfId="0" applyFont="1" applyBorder="1" applyAlignment="1"/>
    <xf numFmtId="0" fontId="1" fillId="0" borderId="0" xfId="0" applyFont="1" applyBorder="1" applyAlignment="1">
      <alignment horizontal="center" vertical="center"/>
    </xf>
    <xf numFmtId="0" fontId="32" fillId="0" borderId="30" xfId="0" applyFont="1" applyBorder="1" applyAlignment="1">
      <alignment vertical="center"/>
    </xf>
    <xf numFmtId="0" fontId="34" fillId="0" borderId="1" xfId="0" applyFont="1" applyBorder="1" applyAlignment="1">
      <alignment horizontal="left" vertical="center"/>
    </xf>
    <xf numFmtId="0" fontId="34" fillId="0" borderId="5" xfId="0" applyFont="1" applyBorder="1" applyAlignment="1">
      <alignment horizontal="left" vertical="center"/>
    </xf>
    <xf numFmtId="0" fontId="34" fillId="0" borderId="5" xfId="0" applyFont="1" applyBorder="1" applyAlignment="1">
      <alignment horizontal="left" vertical="center" wrapText="1"/>
    </xf>
    <xf numFmtId="0" fontId="34" fillId="0" borderId="28" xfId="0" applyFont="1" applyBorder="1" applyAlignment="1">
      <alignment horizontal="center" vertical="center" wrapText="1"/>
    </xf>
    <xf numFmtId="0" fontId="35" fillId="0" borderId="28" xfId="0" applyFont="1" applyBorder="1" applyAlignment="1">
      <alignment horizontal="center" vertical="center"/>
    </xf>
    <xf numFmtId="0" fontId="36" fillId="0" borderId="28" xfId="0" applyFont="1" applyBorder="1" applyAlignment="1">
      <alignment horizontal="center" vertical="center" wrapText="1"/>
    </xf>
    <xf numFmtId="0" fontId="34" fillId="0" borderId="28" xfId="0" applyFont="1" applyFill="1" applyBorder="1" applyAlignment="1">
      <alignment horizontal="center" vertical="center" wrapText="1"/>
    </xf>
    <xf numFmtId="0" fontId="34" fillId="0" borderId="32" xfId="0" applyFont="1" applyBorder="1" applyAlignment="1">
      <alignment horizontal="center" vertical="center" wrapText="1"/>
    </xf>
    <xf numFmtId="0" fontId="16" fillId="0" borderId="18" xfId="0" applyFont="1" applyBorder="1"/>
    <xf numFmtId="0" fontId="16" fillId="0" borderId="20" xfId="0" applyFont="1" applyBorder="1"/>
    <xf numFmtId="0" fontId="19" fillId="0" borderId="20" xfId="0" applyFont="1" applyBorder="1"/>
    <xf numFmtId="0" fontId="19" fillId="0" borderId="23" xfId="0" applyFont="1" applyBorder="1"/>
    <xf numFmtId="0" fontId="36" fillId="0" borderId="29" xfId="0" applyFont="1" applyBorder="1" applyAlignment="1">
      <alignment horizontal="center" vertical="center" wrapText="1"/>
    </xf>
    <xf numFmtId="0" fontId="34" fillId="0" borderId="30" xfId="0" applyFont="1" applyBorder="1" applyAlignment="1">
      <alignment horizontal="left" vertical="center"/>
    </xf>
    <xf numFmtId="0" fontId="0" fillId="0" borderId="26" xfId="0" applyBorder="1"/>
    <xf numFmtId="0" fontId="0" fillId="0" borderId="31" xfId="0" applyBorder="1"/>
    <xf numFmtId="0" fontId="5" fillId="3" borderId="34" xfId="0" applyFont="1" applyFill="1" applyBorder="1" applyAlignment="1">
      <alignment horizontal="center" vertical="center"/>
    </xf>
    <xf numFmtId="0" fontId="35" fillId="0" borderId="27" xfId="0" applyFont="1" applyBorder="1" applyAlignment="1">
      <alignment horizontal="center" vertical="center"/>
    </xf>
    <xf numFmtId="0" fontId="34" fillId="0" borderId="10" xfId="0" applyFont="1" applyBorder="1" applyAlignment="1">
      <alignment horizontal="left" vertical="center" wrapText="1"/>
    </xf>
    <xf numFmtId="0" fontId="5" fillId="4" borderId="30" xfId="0" applyFont="1" applyFill="1" applyBorder="1" applyAlignment="1">
      <alignment horizontal="center" vertical="center" wrapText="1"/>
    </xf>
    <xf numFmtId="0" fontId="5" fillId="4" borderId="30" xfId="0" applyFont="1" applyFill="1" applyBorder="1" applyAlignment="1">
      <alignment horizontal="center" vertical="center"/>
    </xf>
    <xf numFmtId="0" fontId="5" fillId="5" borderId="30" xfId="0" applyFont="1" applyFill="1" applyBorder="1" applyAlignment="1">
      <alignment horizontal="center" vertical="center"/>
    </xf>
    <xf numFmtId="0" fontId="34" fillId="0" borderId="27" xfId="0" applyFont="1" applyBorder="1" applyAlignment="1">
      <alignment horizontal="center" vertical="center" wrapText="1"/>
    </xf>
    <xf numFmtId="0" fontId="32" fillId="0" borderId="1" xfId="0" applyFont="1" applyBorder="1" applyAlignment="1">
      <alignment horizontal="center" vertical="center"/>
    </xf>
    <xf numFmtId="0" fontId="34" fillId="0" borderId="0" xfId="0" applyNumberFormat="1" applyFont="1" applyBorder="1" applyProtection="1">
      <protection locked="0"/>
    </xf>
    <xf numFmtId="0" fontId="34" fillId="0" borderId="1" xfId="0" applyFont="1" applyBorder="1" applyAlignment="1">
      <alignment horizontal="center" vertical="center" wrapText="1"/>
    </xf>
    <xf numFmtId="0" fontId="25" fillId="0" borderId="1" xfId="0" applyFont="1" applyBorder="1" applyAlignment="1">
      <alignment horizontal="center"/>
    </xf>
    <xf numFmtId="0" fontId="25" fillId="0" borderId="0" xfId="0" applyFont="1" applyBorder="1" applyAlignment="1">
      <alignment horizontal="center"/>
    </xf>
    <xf numFmtId="0" fontId="34" fillId="0" borderId="11" xfId="0" applyFont="1" applyBorder="1" applyAlignment="1">
      <alignment horizontal="left" vertical="center"/>
    </xf>
    <xf numFmtId="0" fontId="34" fillId="0" borderId="4" xfId="0" applyFont="1" applyBorder="1" applyAlignment="1">
      <alignment horizontal="left" vertical="center"/>
    </xf>
    <xf numFmtId="0" fontId="34" fillId="0" borderId="4" xfId="0" applyFont="1" applyBorder="1" applyAlignment="1">
      <alignment horizontal="left" vertical="center" wrapText="1"/>
    </xf>
    <xf numFmtId="0" fontId="34" fillId="0" borderId="9" xfId="0" applyFont="1" applyBorder="1" applyAlignment="1">
      <alignment horizontal="left" vertical="center"/>
    </xf>
    <xf numFmtId="0" fontId="34" fillId="0" borderId="4" xfId="0" applyNumberFormat="1" applyFont="1" applyBorder="1" applyProtection="1">
      <protection locked="0"/>
    </xf>
    <xf numFmtId="0" fontId="34" fillId="0" borderId="10" xfId="0" applyFont="1" applyBorder="1" applyAlignment="1">
      <alignment horizontal="left" vertical="center"/>
    </xf>
    <xf numFmtId="0" fontId="5" fillId="4" borderId="34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4" fillId="3" borderId="30" xfId="0" applyFont="1" applyFill="1" applyBorder="1" applyAlignment="1">
      <alignment horizontal="center" vertical="center"/>
    </xf>
    <xf numFmtId="0" fontId="23" fillId="0" borderId="19" xfId="0" applyFont="1" applyBorder="1" applyAlignment="1">
      <alignment vertical="center"/>
    </xf>
    <xf numFmtId="0" fontId="23" fillId="0" borderId="0" xfId="0" applyFont="1" applyBorder="1" applyAlignment="1">
      <alignment vertical="center"/>
    </xf>
    <xf numFmtId="0" fontId="23" fillId="0" borderId="20" xfId="0" applyFont="1" applyBorder="1" applyAlignment="1">
      <alignment vertical="center"/>
    </xf>
    <xf numFmtId="0" fontId="23" fillId="0" borderId="21" xfId="0" applyFont="1" applyBorder="1" applyAlignment="1">
      <alignment vertical="center"/>
    </xf>
    <xf numFmtId="0" fontId="23" fillId="0" borderId="22" xfId="0" applyFont="1" applyBorder="1" applyAlignment="1">
      <alignment vertical="center"/>
    </xf>
    <xf numFmtId="0" fontId="4" fillId="3" borderId="5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/>
    </xf>
    <xf numFmtId="0" fontId="34" fillId="0" borderId="1" xfId="0" applyFont="1" applyBorder="1" applyAlignment="1">
      <alignment vertical="center" wrapText="1"/>
    </xf>
    <xf numFmtId="0" fontId="35" fillId="0" borderId="33" xfId="0" applyFont="1" applyBorder="1" applyAlignment="1">
      <alignment horizontal="center" vertical="center"/>
    </xf>
    <xf numFmtId="0" fontId="34" fillId="0" borderId="34" xfId="0" applyFont="1" applyBorder="1" applyAlignment="1">
      <alignment vertical="center" wrapText="1"/>
    </xf>
    <xf numFmtId="0" fontId="32" fillId="0" borderId="34" xfId="0" applyFont="1" applyBorder="1" applyAlignment="1">
      <alignment horizontal="center" vertical="center"/>
    </xf>
    <xf numFmtId="0" fontId="3" fillId="0" borderId="34" xfId="0" applyFont="1" applyBorder="1" applyAlignment="1">
      <alignment horizontal="center" vertical="center"/>
    </xf>
    <xf numFmtId="0" fontId="0" fillId="0" borderId="35" xfId="0" applyBorder="1"/>
    <xf numFmtId="0" fontId="34" fillId="0" borderId="29" xfId="0" applyFont="1" applyBorder="1" applyAlignment="1">
      <alignment horizontal="center" vertical="center" wrapText="1"/>
    </xf>
    <xf numFmtId="0" fontId="0" fillId="0" borderId="30" xfId="0" applyBorder="1"/>
    <xf numFmtId="0" fontId="34" fillId="0" borderId="30" xfId="0" applyFont="1" applyBorder="1" applyAlignment="1">
      <alignment vertical="center" wrapText="1"/>
    </xf>
    <xf numFmtId="0" fontId="25" fillId="0" borderId="28" xfId="0" applyFont="1" applyBorder="1" applyAlignment="1">
      <alignment horizontal="center"/>
    </xf>
    <xf numFmtId="0" fontId="25" fillId="0" borderId="28" xfId="0" applyFont="1" applyFill="1" applyBorder="1" applyAlignment="1">
      <alignment horizontal="center"/>
    </xf>
    <xf numFmtId="0" fontId="25" fillId="0" borderId="29" xfId="0" applyFont="1" applyFill="1" applyBorder="1" applyAlignment="1">
      <alignment horizontal="center"/>
    </xf>
    <xf numFmtId="0" fontId="21" fillId="0" borderId="30" xfId="0" applyFont="1" applyBorder="1" applyAlignment="1">
      <alignment vertical="center" wrapText="1"/>
    </xf>
    <xf numFmtId="0" fontId="32" fillId="0" borderId="10" xfId="0" applyFont="1" applyBorder="1" applyAlignment="1">
      <alignment vertical="center"/>
    </xf>
    <xf numFmtId="0" fontId="7" fillId="0" borderId="10" xfId="0" applyFont="1" applyBorder="1" applyAlignment="1">
      <alignment vertical="center"/>
    </xf>
    <xf numFmtId="0" fontId="7" fillId="0" borderId="1" xfId="0" applyFont="1" applyBorder="1" applyAlignment="1">
      <alignment vertical="center"/>
    </xf>
    <xf numFmtId="0" fontId="7" fillId="0" borderId="30" xfId="0" applyFont="1" applyBorder="1" applyAlignment="1">
      <alignment vertical="center"/>
    </xf>
    <xf numFmtId="0" fontId="7" fillId="0" borderId="25" xfId="0" applyFont="1" applyBorder="1" applyAlignment="1">
      <alignment horizontal="center"/>
    </xf>
    <xf numFmtId="0" fontId="7" fillId="2" borderId="1" xfId="0" applyFont="1" applyFill="1" applyBorder="1" applyAlignment="1">
      <alignment vertical="center"/>
    </xf>
    <xf numFmtId="0" fontId="7" fillId="0" borderId="1" xfId="0" applyFont="1" applyBorder="1" applyAlignment="1"/>
    <xf numFmtId="0" fontId="20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23" fillId="0" borderId="13" xfId="0" applyFont="1" applyBorder="1" applyAlignment="1">
      <alignment horizontal="left" vertical="center"/>
    </xf>
    <xf numFmtId="0" fontId="23" fillId="0" borderId="0" xfId="0" applyFont="1" applyBorder="1" applyAlignment="1">
      <alignment horizontal="left" vertical="center"/>
    </xf>
    <xf numFmtId="0" fontId="23" fillId="0" borderId="13" xfId="0" applyFont="1" applyBorder="1" applyAlignment="1">
      <alignment horizontal="left" vertical="center" wrapText="1"/>
    </xf>
    <xf numFmtId="0" fontId="23" fillId="0" borderId="0" xfId="0" applyFont="1" applyBorder="1" applyAlignment="1">
      <alignment horizontal="left" vertical="center" wrapText="1"/>
    </xf>
    <xf numFmtId="0" fontId="15" fillId="0" borderId="0" xfId="0" applyFont="1" applyBorder="1" applyAlignment="1">
      <alignment horizontal="center" vertical="center"/>
    </xf>
    <xf numFmtId="0" fontId="24" fillId="0" borderId="7" xfId="0" applyFont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3" fillId="0" borderId="5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6" fillId="0" borderId="0" xfId="0" applyFont="1" applyAlignment="1"/>
    <xf numFmtId="0" fontId="5" fillId="0" borderId="0" xfId="0" applyFont="1" applyAlignment="1">
      <alignment horizontal="left"/>
    </xf>
    <xf numFmtId="0" fontId="28" fillId="0" borderId="13" xfId="0" applyFont="1" applyBorder="1" applyAlignment="1">
      <alignment horizontal="left" vertical="center"/>
    </xf>
    <xf numFmtId="0" fontId="28" fillId="0" borderId="0" xfId="0" applyFont="1" applyBorder="1" applyAlignment="1">
      <alignment horizontal="left" vertical="center"/>
    </xf>
    <xf numFmtId="0" fontId="28" fillId="0" borderId="13" xfId="0" applyFont="1" applyBorder="1" applyAlignment="1">
      <alignment horizontal="left" vertical="center" wrapText="1"/>
    </xf>
    <xf numFmtId="0" fontId="28" fillId="0" borderId="0" xfId="0" applyFont="1" applyBorder="1" applyAlignment="1">
      <alignment horizontal="left" vertical="center" wrapText="1"/>
    </xf>
    <xf numFmtId="0" fontId="30" fillId="0" borderId="0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17" fillId="0" borderId="2" xfId="0" applyFont="1" applyBorder="1" applyAlignment="1">
      <alignment horizontal="left" vertical="center"/>
    </xf>
    <xf numFmtId="0" fontId="17" fillId="0" borderId="3" xfId="0" applyFont="1" applyBorder="1" applyAlignment="1">
      <alignment horizontal="left" vertical="center"/>
    </xf>
    <xf numFmtId="0" fontId="17" fillId="0" borderId="4" xfId="0" applyFont="1" applyBorder="1" applyAlignment="1">
      <alignment horizontal="left" vertical="center"/>
    </xf>
    <xf numFmtId="9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22" fillId="4" borderId="1" xfId="0" applyFont="1" applyFill="1" applyBorder="1" applyAlignment="1">
      <alignment horizontal="center" vertical="center"/>
    </xf>
    <xf numFmtId="0" fontId="17" fillId="0" borderId="1" xfId="0" applyFont="1" applyBorder="1" applyAlignment="1">
      <alignment horizontal="left" vertical="center" wrapText="1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0" fillId="0" borderId="0" xfId="0" applyAlignment="1">
      <alignment horizontal="left"/>
    </xf>
    <xf numFmtId="0" fontId="7" fillId="2" borderId="2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left" vertical="center" wrapText="1"/>
    </xf>
    <xf numFmtId="0" fontId="4" fillId="2" borderId="3" xfId="0" applyFont="1" applyFill="1" applyBorder="1" applyAlignment="1">
      <alignment horizontal="left" vertical="center" wrapText="1"/>
    </xf>
    <xf numFmtId="0" fontId="4" fillId="2" borderId="4" xfId="0" applyFont="1" applyFill="1" applyBorder="1" applyAlignment="1">
      <alignment horizontal="left" vertical="center" wrapText="1"/>
    </xf>
    <xf numFmtId="0" fontId="5" fillId="4" borderId="12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4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0" fontId="14" fillId="0" borderId="13" xfId="0" applyFont="1" applyBorder="1" applyAlignment="1">
      <alignment horizontal="left" vertical="center"/>
    </xf>
    <xf numFmtId="0" fontId="14" fillId="0" borderId="0" xfId="0" applyFont="1" applyBorder="1" applyAlignment="1">
      <alignment horizontal="left" vertical="center"/>
    </xf>
    <xf numFmtId="0" fontId="14" fillId="0" borderId="13" xfId="0" applyFont="1" applyBorder="1" applyAlignment="1">
      <alignment horizontal="left" vertical="center" wrapText="1"/>
    </xf>
    <xf numFmtId="0" fontId="14" fillId="0" borderId="0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11" fillId="0" borderId="0" xfId="0" applyFont="1" applyAlignment="1">
      <alignment horizont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14" fillId="0" borderId="16" xfId="0" applyFont="1" applyBorder="1" applyAlignment="1">
      <alignment horizontal="center" vertical="center"/>
    </xf>
    <xf numFmtId="0" fontId="14" fillId="0" borderId="17" xfId="0" applyFont="1" applyBorder="1" applyAlignment="1">
      <alignment horizontal="center" vertical="center"/>
    </xf>
    <xf numFmtId="0" fontId="14" fillId="0" borderId="18" xfId="0" applyFont="1" applyBorder="1" applyAlignment="1">
      <alignment horizontal="center" vertical="center"/>
    </xf>
    <xf numFmtId="0" fontId="14" fillId="0" borderId="19" xfId="0" applyFont="1" applyBorder="1" applyAlignment="1">
      <alignment horizontal="center" vertical="center"/>
    </xf>
    <xf numFmtId="0" fontId="14" fillId="0" borderId="0" xfId="0" applyFont="1" applyBorder="1" applyAlignment="1">
      <alignment horizontal="center" vertical="center"/>
    </xf>
    <xf numFmtId="0" fontId="14" fillId="0" borderId="20" xfId="0" applyFont="1" applyBorder="1" applyAlignment="1">
      <alignment horizontal="center" vertical="center"/>
    </xf>
    <xf numFmtId="0" fontId="23" fillId="0" borderId="19" xfId="0" applyFont="1" applyBorder="1" applyAlignment="1">
      <alignment horizontal="center" vertical="center"/>
    </xf>
    <xf numFmtId="0" fontId="23" fillId="0" borderId="0" xfId="0" applyFont="1" applyBorder="1" applyAlignment="1">
      <alignment horizontal="center" vertical="center"/>
    </xf>
    <xf numFmtId="0" fontId="23" fillId="0" borderId="20" xfId="0" applyFont="1" applyBorder="1" applyAlignment="1">
      <alignment horizontal="center" vertical="center"/>
    </xf>
    <xf numFmtId="0" fontId="23" fillId="0" borderId="21" xfId="0" applyFont="1" applyBorder="1" applyAlignment="1">
      <alignment horizontal="center" vertical="center"/>
    </xf>
    <xf numFmtId="0" fontId="23" fillId="0" borderId="22" xfId="0" applyFont="1" applyBorder="1" applyAlignment="1">
      <alignment horizontal="center" vertical="center"/>
    </xf>
    <xf numFmtId="0" fontId="23" fillId="0" borderId="23" xfId="0" applyFont="1" applyBorder="1" applyAlignment="1">
      <alignment horizontal="center" vertical="center"/>
    </xf>
    <xf numFmtId="0" fontId="5" fillId="0" borderId="24" xfId="0" applyFont="1" applyBorder="1" applyAlignment="1">
      <alignment horizontal="center" vertical="center" wrapText="1"/>
    </xf>
    <xf numFmtId="0" fontId="5" fillId="0" borderId="27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0" fontId="3" fillId="4" borderId="12" xfId="0" applyFont="1" applyFill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12" fillId="0" borderId="12" xfId="0" applyFont="1" applyBorder="1" applyAlignment="1">
      <alignment horizontal="center" vertical="center" wrapText="1"/>
    </xf>
    <xf numFmtId="0" fontId="12" fillId="0" borderId="10" xfId="0" applyFont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 wrapText="1"/>
    </xf>
    <xf numFmtId="0" fontId="3" fillId="4" borderId="10" xfId="0" applyFont="1" applyFill="1" applyBorder="1" applyAlignment="1">
      <alignment horizontal="center" vertical="center" wrapText="1"/>
    </xf>
    <xf numFmtId="0" fontId="3" fillId="5" borderId="5" xfId="0" applyFont="1" applyFill="1" applyBorder="1" applyAlignment="1">
      <alignment horizontal="center" vertical="center" wrapText="1"/>
    </xf>
    <xf numFmtId="0" fontId="3" fillId="5" borderId="10" xfId="0" applyFont="1" applyFill="1" applyBorder="1" applyAlignment="1">
      <alignment horizontal="center" vertical="center" wrapText="1"/>
    </xf>
    <xf numFmtId="0" fontId="3" fillId="4" borderId="9" xfId="0" applyFont="1" applyFill="1" applyBorder="1" applyAlignment="1">
      <alignment horizontal="center" vertical="center" wrapText="1"/>
    </xf>
    <xf numFmtId="0" fontId="3" fillId="4" borderId="11" xfId="0" applyFont="1" applyFill="1" applyBorder="1" applyAlignment="1">
      <alignment horizontal="center" vertical="center" wrapText="1"/>
    </xf>
    <xf numFmtId="0" fontId="32" fillId="0" borderId="1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 wrapText="1"/>
    </xf>
    <xf numFmtId="0" fontId="2" fillId="0" borderId="26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right"/>
    </xf>
    <xf numFmtId="0" fontId="3" fillId="5" borderId="13" xfId="0" applyFont="1" applyFill="1" applyBorder="1" applyAlignment="1">
      <alignment horizontal="center" vertical="center" wrapText="1"/>
    </xf>
    <xf numFmtId="0" fontId="3" fillId="5" borderId="6" xfId="0" applyFont="1" applyFill="1" applyBorder="1" applyAlignment="1">
      <alignment horizontal="center" vertical="center" wrapText="1"/>
    </xf>
    <xf numFmtId="0" fontId="3" fillId="4" borderId="15" xfId="0" applyFont="1" applyFill="1" applyBorder="1" applyAlignment="1">
      <alignment horizontal="center" vertical="center" wrapText="1"/>
    </xf>
    <xf numFmtId="0" fontId="32" fillId="0" borderId="2" xfId="0" applyFont="1" applyBorder="1" applyAlignment="1">
      <alignment horizontal="center" vertical="center"/>
    </xf>
    <xf numFmtId="0" fontId="32" fillId="0" borderId="3" xfId="0" applyFont="1" applyBorder="1" applyAlignment="1">
      <alignment horizontal="center" vertical="center"/>
    </xf>
    <xf numFmtId="0" fontId="32" fillId="0" borderId="4" xfId="0" applyFont="1" applyBorder="1" applyAlignment="1">
      <alignment horizontal="center" vertical="center"/>
    </xf>
    <xf numFmtId="0" fontId="5" fillId="0" borderId="0" xfId="0" applyFont="1" applyBorder="1" applyAlignment="1">
      <alignment horizontal="center"/>
    </xf>
    <xf numFmtId="0" fontId="3" fillId="5" borderId="34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2" fillId="0" borderId="35" xfId="0" applyFont="1" applyBorder="1" applyAlignment="1">
      <alignment horizontal="center" vertical="center" wrapText="1"/>
    </xf>
    <xf numFmtId="0" fontId="2" fillId="0" borderId="31" xfId="0" applyFont="1" applyBorder="1" applyAlignment="1">
      <alignment horizontal="center" vertical="center" wrapText="1"/>
    </xf>
    <xf numFmtId="0" fontId="3" fillId="0" borderId="42" xfId="0" applyFont="1" applyBorder="1" applyAlignment="1">
      <alignment horizontal="center" vertical="center" wrapText="1"/>
    </xf>
    <xf numFmtId="0" fontId="3" fillId="0" borderId="43" xfId="0" applyFont="1" applyBorder="1" applyAlignment="1">
      <alignment horizontal="center" vertical="center" wrapText="1"/>
    </xf>
    <xf numFmtId="0" fontId="3" fillId="0" borderId="44" xfId="0" applyFont="1" applyBorder="1" applyAlignment="1">
      <alignment horizontal="center" vertical="center" wrapText="1"/>
    </xf>
    <xf numFmtId="0" fontId="12" fillId="0" borderId="45" xfId="0" applyFont="1" applyBorder="1" applyAlignment="1">
      <alignment horizontal="center" vertical="center" wrapText="1"/>
    </xf>
    <xf numFmtId="0" fontId="12" fillId="0" borderId="46" xfId="0" applyFont="1" applyBorder="1" applyAlignment="1">
      <alignment horizontal="center" vertical="center" wrapText="1"/>
    </xf>
    <xf numFmtId="0" fontId="12" fillId="0" borderId="47" xfId="0" applyFont="1" applyBorder="1" applyAlignment="1">
      <alignment horizontal="center" vertical="center" wrapText="1"/>
    </xf>
    <xf numFmtId="0" fontId="3" fillId="0" borderId="40" xfId="0" applyFont="1" applyBorder="1" applyAlignment="1">
      <alignment horizontal="center" vertical="center"/>
    </xf>
    <xf numFmtId="0" fontId="3" fillId="0" borderId="41" xfId="0" applyFont="1" applyBorder="1" applyAlignment="1">
      <alignment horizontal="center" vertical="center"/>
    </xf>
    <xf numFmtId="0" fontId="3" fillId="4" borderId="34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5" fillId="0" borderId="36" xfId="0" applyFont="1" applyBorder="1" applyAlignment="1">
      <alignment horizontal="center" vertical="center" wrapText="1"/>
    </xf>
    <xf numFmtId="0" fontId="5" fillId="0" borderId="38" xfId="0" applyFont="1" applyBorder="1" applyAlignment="1">
      <alignment horizontal="center" vertical="center" wrapText="1"/>
    </xf>
    <xf numFmtId="0" fontId="5" fillId="0" borderId="37" xfId="0" applyFont="1" applyBorder="1" applyAlignment="1">
      <alignment horizontal="center" vertical="center" wrapText="1"/>
    </xf>
    <xf numFmtId="0" fontId="5" fillId="0" borderId="39" xfId="0" applyFont="1" applyBorder="1" applyAlignment="1">
      <alignment horizontal="center" vertical="center" wrapText="1"/>
    </xf>
    <xf numFmtId="0" fontId="5" fillId="0" borderId="37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39" xfId="0" applyFont="1" applyBorder="1" applyAlignment="1">
      <alignment horizontal="center" vertical="center"/>
    </xf>
    <xf numFmtId="0" fontId="2" fillId="0" borderId="48" xfId="0" applyFont="1" applyBorder="1" applyAlignment="1">
      <alignment horizontal="center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788871</xdr:colOff>
      <xdr:row>0</xdr:row>
      <xdr:rowOff>0</xdr:rowOff>
    </xdr:from>
    <xdr:to>
      <xdr:col>3</xdr:col>
      <xdr:colOff>6349</xdr:colOff>
      <xdr:row>0</xdr:row>
      <xdr:rowOff>79893</xdr:rowOff>
    </xdr:to>
    <xdr:pic>
      <xdr:nvPicPr>
        <xdr:cNvPr id="2" name="Picture 1" descr="COPY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flipH="1">
          <a:off x="2836746" y="107206"/>
          <a:ext cx="1703" cy="30849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788871</xdr:colOff>
      <xdr:row>0</xdr:row>
      <xdr:rowOff>0</xdr:rowOff>
    </xdr:from>
    <xdr:to>
      <xdr:col>3</xdr:col>
      <xdr:colOff>6349</xdr:colOff>
      <xdr:row>0</xdr:row>
      <xdr:rowOff>79893</xdr:rowOff>
    </xdr:to>
    <xdr:pic>
      <xdr:nvPicPr>
        <xdr:cNvPr id="2" name="Picture 1" descr="COPY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flipH="1">
          <a:off x="2246196" y="0"/>
          <a:ext cx="1703" cy="7989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3"/>
  <sheetViews>
    <sheetView view="pageBreakPreview" topLeftCell="A3" zoomScale="80" zoomScaleNormal="85" zoomScaleSheetLayoutView="80" workbookViewId="0">
      <selection activeCell="W32" sqref="W32"/>
    </sheetView>
  </sheetViews>
  <sheetFormatPr defaultRowHeight="15" x14ac:dyDescent="0.25"/>
  <cols>
    <col min="1" max="1" width="7.42578125" bestFit="1" customWidth="1"/>
    <col min="2" max="2" width="17.5703125" bestFit="1" customWidth="1"/>
    <col min="3" max="3" width="27.85546875" bestFit="1" customWidth="1"/>
    <col min="4" max="16" width="7" style="1" customWidth="1"/>
    <col min="17" max="17" width="9.140625" style="2"/>
  </cols>
  <sheetData>
    <row r="1" spans="1:18" s="34" customFormat="1" ht="21.75" customHeight="1" x14ac:dyDescent="0.35">
      <c r="A1" s="202" t="s">
        <v>135</v>
      </c>
      <c r="B1" s="202"/>
      <c r="C1" s="202"/>
      <c r="D1" s="202"/>
      <c r="E1" s="202"/>
      <c r="F1" s="202"/>
      <c r="G1" s="202"/>
      <c r="H1" s="202"/>
      <c r="I1" s="202"/>
      <c r="J1" s="202"/>
      <c r="K1" s="202"/>
      <c r="L1" s="202"/>
      <c r="M1" s="202"/>
      <c r="N1" s="202"/>
      <c r="O1" s="202"/>
      <c r="P1" s="202"/>
      <c r="Q1" s="202"/>
      <c r="R1" s="202"/>
    </row>
    <row r="2" spans="1:18" s="34" customFormat="1" ht="18" customHeight="1" x14ac:dyDescent="0.35">
      <c r="A2" s="203" t="s">
        <v>136</v>
      </c>
      <c r="B2" s="203"/>
      <c r="C2" s="203"/>
      <c r="D2" s="203"/>
      <c r="E2" s="203"/>
      <c r="F2" s="203"/>
      <c r="G2" s="203"/>
      <c r="H2" s="203"/>
      <c r="I2" s="203"/>
      <c r="J2" s="203"/>
      <c r="K2" s="203"/>
      <c r="L2" s="203"/>
      <c r="M2" s="203"/>
      <c r="N2" s="203"/>
      <c r="O2" s="203"/>
      <c r="P2" s="203"/>
      <c r="Q2" s="203"/>
      <c r="R2" s="203"/>
    </row>
    <row r="3" spans="1:18" ht="12.75" customHeight="1" x14ac:dyDescent="0.25">
      <c r="A3" s="208"/>
      <c r="B3" s="208"/>
      <c r="C3" s="208"/>
      <c r="D3" s="208"/>
      <c r="E3" s="208"/>
      <c r="F3" s="208"/>
      <c r="G3" s="208"/>
      <c r="H3" s="208"/>
      <c r="I3" s="208"/>
      <c r="J3" s="208"/>
      <c r="K3"/>
      <c r="L3"/>
      <c r="M3"/>
      <c r="N3"/>
      <c r="O3"/>
      <c r="P3"/>
      <c r="Q3"/>
    </row>
    <row r="4" spans="1:18" s="36" customFormat="1" ht="17.25" customHeight="1" x14ac:dyDescent="0.25">
      <c r="A4" s="204" t="s">
        <v>147</v>
      </c>
      <c r="B4" s="205"/>
      <c r="C4" s="205"/>
      <c r="D4" s="205"/>
      <c r="E4" s="205"/>
      <c r="F4" s="205"/>
      <c r="G4" s="205"/>
      <c r="H4" s="205"/>
      <c r="I4" s="205"/>
      <c r="J4" s="205"/>
      <c r="K4" s="205"/>
      <c r="L4" s="205"/>
      <c r="M4" s="205"/>
      <c r="N4" s="205"/>
      <c r="O4" s="205"/>
      <c r="P4" s="205"/>
      <c r="Q4" s="205"/>
      <c r="R4" s="205"/>
    </row>
    <row r="5" spans="1:18" s="36" customFormat="1" ht="26.25" customHeight="1" x14ac:dyDescent="0.25">
      <c r="A5" s="206" t="s">
        <v>188</v>
      </c>
      <c r="B5" s="207"/>
      <c r="C5" s="207"/>
      <c r="D5" s="207"/>
      <c r="E5" s="207"/>
      <c r="F5" s="207"/>
      <c r="G5" s="207"/>
      <c r="H5" s="207"/>
      <c r="I5" s="207"/>
      <c r="J5" s="207"/>
      <c r="K5" s="207"/>
      <c r="L5" s="207"/>
      <c r="M5" s="207"/>
      <c r="N5" s="207"/>
      <c r="O5" s="207"/>
      <c r="P5" s="207"/>
      <c r="Q5" s="207"/>
      <c r="R5" s="207"/>
    </row>
    <row r="6" spans="1:18" s="36" customFormat="1" ht="17.25" customHeight="1" x14ac:dyDescent="0.25">
      <c r="A6" s="204" t="s">
        <v>148</v>
      </c>
      <c r="B6" s="205"/>
      <c r="C6" s="205"/>
      <c r="D6" s="205"/>
      <c r="E6" s="205"/>
      <c r="F6" s="205"/>
      <c r="G6" s="205"/>
      <c r="H6" s="205"/>
      <c r="I6" s="205"/>
      <c r="J6" s="205"/>
      <c r="K6" s="205"/>
      <c r="L6" s="205"/>
      <c r="M6" s="205"/>
      <c r="N6" s="205"/>
      <c r="O6" s="205"/>
      <c r="P6" s="205"/>
      <c r="Q6" s="205"/>
    </row>
    <row r="8" spans="1:18" ht="29.25" customHeight="1" x14ac:dyDescent="0.25">
      <c r="A8" s="209" t="s">
        <v>143</v>
      </c>
      <c r="B8" s="209"/>
      <c r="C8" s="209"/>
      <c r="D8" s="209"/>
      <c r="E8" s="209"/>
      <c r="F8" s="209"/>
      <c r="G8" s="209"/>
      <c r="H8" s="209"/>
      <c r="I8" s="209"/>
      <c r="J8" s="209"/>
      <c r="K8" s="209"/>
      <c r="L8" s="209"/>
      <c r="M8" s="209"/>
      <c r="N8" s="209"/>
      <c r="O8" s="209"/>
      <c r="P8" s="209"/>
      <c r="Q8" s="209"/>
      <c r="R8" s="209"/>
    </row>
    <row r="9" spans="1:18" ht="30.75" customHeight="1" x14ac:dyDescent="0.25">
      <c r="A9" s="4" t="s">
        <v>2</v>
      </c>
      <c r="B9" s="4" t="s">
        <v>1</v>
      </c>
      <c r="C9" s="4" t="s">
        <v>3</v>
      </c>
      <c r="D9" s="4">
        <v>1</v>
      </c>
      <c r="E9" s="4">
        <v>2</v>
      </c>
      <c r="F9" s="4">
        <v>3</v>
      </c>
      <c r="G9" s="4">
        <v>4</v>
      </c>
      <c r="H9" s="60">
        <v>5</v>
      </c>
      <c r="I9" s="60">
        <v>6</v>
      </c>
      <c r="J9" s="4">
        <v>7</v>
      </c>
      <c r="K9" s="4">
        <v>8</v>
      </c>
      <c r="L9" s="4">
        <v>9</v>
      </c>
      <c r="M9" s="4">
        <v>10</v>
      </c>
      <c r="N9" s="4">
        <v>11</v>
      </c>
      <c r="O9" s="4">
        <v>12</v>
      </c>
      <c r="P9" s="4">
        <v>13</v>
      </c>
      <c r="Q9" s="212" t="s">
        <v>134</v>
      </c>
      <c r="R9" s="214" t="s">
        <v>0</v>
      </c>
    </row>
    <row r="10" spans="1:18" ht="30.75" customHeight="1" x14ac:dyDescent="0.25">
      <c r="A10" s="4"/>
      <c r="B10" s="4"/>
      <c r="C10" s="4"/>
      <c r="D10" s="216" t="s">
        <v>4</v>
      </c>
      <c r="E10" s="217"/>
      <c r="F10" s="217"/>
      <c r="G10" s="217"/>
      <c r="H10" s="217"/>
      <c r="I10" s="217"/>
      <c r="J10" s="217"/>
      <c r="K10" s="217"/>
      <c r="L10" s="217"/>
      <c r="M10" s="217"/>
      <c r="N10" s="217"/>
      <c r="O10" s="217"/>
      <c r="P10" s="218"/>
      <c r="Q10" s="213"/>
      <c r="R10" s="215"/>
    </row>
    <row r="11" spans="1:18" s="43" customFormat="1" ht="28.5" customHeight="1" x14ac:dyDescent="0.25">
      <c r="A11" s="6">
        <v>1</v>
      </c>
      <c r="B11" s="6" t="s">
        <v>6</v>
      </c>
      <c r="C11" s="7" t="s">
        <v>7</v>
      </c>
      <c r="D11" s="6">
        <v>10</v>
      </c>
      <c r="E11" s="6">
        <v>10</v>
      </c>
      <c r="F11" s="6">
        <v>10</v>
      </c>
      <c r="G11" s="6">
        <v>10</v>
      </c>
      <c r="H11" s="6">
        <v>10</v>
      </c>
      <c r="I11" s="6">
        <v>10</v>
      </c>
      <c r="J11" s="6">
        <v>10</v>
      </c>
      <c r="K11" s="6">
        <v>10</v>
      </c>
      <c r="L11" s="6">
        <v>10</v>
      </c>
      <c r="M11" s="6">
        <v>10</v>
      </c>
      <c r="N11" s="6">
        <v>10</v>
      </c>
      <c r="O11" s="6">
        <v>10</v>
      </c>
      <c r="P11" s="6">
        <v>10</v>
      </c>
      <c r="Q11" s="6">
        <v>10</v>
      </c>
      <c r="R11" s="6">
        <v>10</v>
      </c>
    </row>
    <row r="12" spans="1:18" s="43" customFormat="1" ht="28.5" customHeight="1" x14ac:dyDescent="0.25">
      <c r="A12" s="6">
        <v>2</v>
      </c>
      <c r="B12" s="6" t="s">
        <v>8</v>
      </c>
      <c r="C12" s="7" t="s">
        <v>9</v>
      </c>
      <c r="D12" s="6">
        <v>10</v>
      </c>
      <c r="E12" s="6">
        <v>10</v>
      </c>
      <c r="F12" s="6">
        <v>10</v>
      </c>
      <c r="G12" s="6">
        <v>10</v>
      </c>
      <c r="H12" s="6">
        <v>10</v>
      </c>
      <c r="I12" s="6">
        <v>10</v>
      </c>
      <c r="J12" s="6">
        <v>10</v>
      </c>
      <c r="K12" s="6">
        <v>10</v>
      </c>
      <c r="L12" s="6">
        <v>10</v>
      </c>
      <c r="M12" s="6">
        <v>10</v>
      </c>
      <c r="N12" s="6">
        <v>10</v>
      </c>
      <c r="O12" s="6">
        <v>10</v>
      </c>
      <c r="P12" s="6">
        <v>10</v>
      </c>
      <c r="Q12" s="6">
        <v>10</v>
      </c>
      <c r="R12" s="6">
        <v>10</v>
      </c>
    </row>
    <row r="13" spans="1:18" s="43" customFormat="1" ht="28.5" customHeight="1" x14ac:dyDescent="0.25">
      <c r="A13" s="6">
        <v>3</v>
      </c>
      <c r="B13" s="6" t="s">
        <v>10</v>
      </c>
      <c r="C13" s="7" t="s">
        <v>11</v>
      </c>
      <c r="D13" s="6">
        <v>10</v>
      </c>
      <c r="E13" s="6">
        <v>10</v>
      </c>
      <c r="F13" s="6">
        <v>10</v>
      </c>
      <c r="G13" s="6">
        <v>10</v>
      </c>
      <c r="H13" s="6">
        <v>10</v>
      </c>
      <c r="I13" s="6">
        <v>10</v>
      </c>
      <c r="J13" s="6">
        <v>10</v>
      </c>
      <c r="K13" s="6">
        <v>10</v>
      </c>
      <c r="L13" s="6">
        <v>10</v>
      </c>
      <c r="M13" s="6">
        <v>10</v>
      </c>
      <c r="N13" s="6">
        <v>10</v>
      </c>
      <c r="O13" s="6">
        <v>10</v>
      </c>
      <c r="P13" s="6">
        <v>10</v>
      </c>
      <c r="Q13" s="6">
        <v>10</v>
      </c>
      <c r="R13" s="6">
        <v>10</v>
      </c>
    </row>
    <row r="14" spans="1:18" s="43" customFormat="1" ht="28.5" customHeight="1" x14ac:dyDescent="0.25">
      <c r="A14" s="6">
        <v>4</v>
      </c>
      <c r="B14" s="6" t="s">
        <v>12</v>
      </c>
      <c r="C14" s="7" t="s">
        <v>13</v>
      </c>
      <c r="D14" s="6">
        <v>10</v>
      </c>
      <c r="E14" s="6">
        <v>10</v>
      </c>
      <c r="F14" s="6">
        <v>10</v>
      </c>
      <c r="G14" s="6">
        <v>10</v>
      </c>
      <c r="H14" s="6">
        <v>10</v>
      </c>
      <c r="I14" s="6">
        <v>10</v>
      </c>
      <c r="J14" s="6">
        <v>10</v>
      </c>
      <c r="K14" s="6">
        <v>10</v>
      </c>
      <c r="L14" s="6">
        <v>10</v>
      </c>
      <c r="M14" s="6">
        <v>10</v>
      </c>
      <c r="N14" s="6">
        <v>10</v>
      </c>
      <c r="O14" s="6">
        <v>10</v>
      </c>
      <c r="P14" s="6">
        <v>10</v>
      </c>
      <c r="Q14" s="6">
        <v>10</v>
      </c>
      <c r="R14" s="6">
        <v>10</v>
      </c>
    </row>
    <row r="15" spans="1:18" s="43" customFormat="1" ht="28.5" customHeight="1" x14ac:dyDescent="0.25">
      <c r="A15" s="6">
        <v>5</v>
      </c>
      <c r="B15" s="6" t="s">
        <v>14</v>
      </c>
      <c r="C15" s="7" t="s">
        <v>15</v>
      </c>
      <c r="D15" s="6">
        <v>10</v>
      </c>
      <c r="E15" s="6">
        <v>10</v>
      </c>
      <c r="F15" s="6">
        <v>10</v>
      </c>
      <c r="G15" s="6">
        <v>10</v>
      </c>
      <c r="H15" s="6">
        <v>10</v>
      </c>
      <c r="I15" s="6">
        <v>10</v>
      </c>
      <c r="J15" s="6">
        <v>10</v>
      </c>
      <c r="K15" s="6">
        <v>10</v>
      </c>
      <c r="L15" s="6">
        <v>10</v>
      </c>
      <c r="M15" s="6">
        <v>10</v>
      </c>
      <c r="N15" s="6">
        <v>10</v>
      </c>
      <c r="O15" s="6">
        <v>10</v>
      </c>
      <c r="P15" s="6">
        <v>10</v>
      </c>
      <c r="Q15" s="6">
        <v>10</v>
      </c>
      <c r="R15" s="6">
        <v>10</v>
      </c>
    </row>
    <row r="16" spans="1:18" s="43" customFormat="1" ht="28.5" customHeight="1" x14ac:dyDescent="0.25">
      <c r="A16" s="6">
        <v>6</v>
      </c>
      <c r="B16" s="6" t="s">
        <v>16</v>
      </c>
      <c r="C16" s="7" t="s">
        <v>17</v>
      </c>
      <c r="D16" s="6">
        <v>10</v>
      </c>
      <c r="E16" s="6">
        <v>10</v>
      </c>
      <c r="F16" s="6">
        <v>10</v>
      </c>
      <c r="G16" s="6">
        <v>10</v>
      </c>
      <c r="H16" s="6">
        <v>10</v>
      </c>
      <c r="I16" s="6">
        <v>10</v>
      </c>
      <c r="J16" s="6">
        <v>10</v>
      </c>
      <c r="K16" s="6">
        <v>10</v>
      </c>
      <c r="L16" s="6">
        <v>10</v>
      </c>
      <c r="M16" s="6">
        <v>10</v>
      </c>
      <c r="N16" s="6">
        <v>10</v>
      </c>
      <c r="O16" s="6">
        <v>10</v>
      </c>
      <c r="P16" s="6">
        <v>10</v>
      </c>
      <c r="Q16" s="6">
        <v>10</v>
      </c>
      <c r="R16" s="6">
        <v>10</v>
      </c>
    </row>
    <row r="17" spans="1:18" s="43" customFormat="1" ht="28.5" customHeight="1" x14ac:dyDescent="0.25">
      <c r="A17" s="6">
        <v>7</v>
      </c>
      <c r="B17" s="6" t="s">
        <v>18</v>
      </c>
      <c r="C17" s="7" t="s">
        <v>19</v>
      </c>
      <c r="D17" s="6">
        <v>10</v>
      </c>
      <c r="E17" s="6">
        <v>10</v>
      </c>
      <c r="F17" s="6">
        <v>10</v>
      </c>
      <c r="G17" s="6">
        <v>10</v>
      </c>
      <c r="H17" s="6">
        <v>10</v>
      </c>
      <c r="I17" s="6">
        <v>10</v>
      </c>
      <c r="J17" s="6">
        <v>10</v>
      </c>
      <c r="K17" s="6">
        <v>10</v>
      </c>
      <c r="L17" s="6">
        <v>10</v>
      </c>
      <c r="M17" s="6">
        <v>10</v>
      </c>
      <c r="N17" s="6">
        <v>10</v>
      </c>
      <c r="O17" s="6">
        <v>10</v>
      </c>
      <c r="P17" s="6">
        <v>10</v>
      </c>
      <c r="Q17" s="6">
        <v>10</v>
      </c>
      <c r="R17" s="6">
        <v>10</v>
      </c>
    </row>
    <row r="18" spans="1:18" s="43" customFormat="1" ht="28.5" customHeight="1" x14ac:dyDescent="0.25">
      <c r="A18" s="6">
        <v>8</v>
      </c>
      <c r="B18" s="6" t="s">
        <v>20</v>
      </c>
      <c r="C18" s="7" t="s">
        <v>21</v>
      </c>
      <c r="D18" s="6">
        <v>10</v>
      </c>
      <c r="E18" s="6">
        <v>10</v>
      </c>
      <c r="F18" s="6">
        <v>10</v>
      </c>
      <c r="G18" s="6">
        <v>10</v>
      </c>
      <c r="H18" s="6">
        <v>10</v>
      </c>
      <c r="I18" s="6">
        <v>10</v>
      </c>
      <c r="J18" s="6">
        <v>10</v>
      </c>
      <c r="K18" s="6">
        <v>10</v>
      </c>
      <c r="L18" s="6">
        <v>10</v>
      </c>
      <c r="M18" s="6">
        <v>10</v>
      </c>
      <c r="N18" s="6">
        <v>10</v>
      </c>
      <c r="O18" s="6">
        <v>10</v>
      </c>
      <c r="P18" s="6">
        <v>10</v>
      </c>
      <c r="Q18" s="6">
        <v>10</v>
      </c>
      <c r="R18" s="6">
        <v>10</v>
      </c>
    </row>
    <row r="19" spans="1:18" s="43" customFormat="1" ht="28.5" customHeight="1" x14ac:dyDescent="0.25">
      <c r="A19" s="6">
        <v>9</v>
      </c>
      <c r="B19" s="6" t="s">
        <v>22</v>
      </c>
      <c r="C19" s="46" t="s">
        <v>23</v>
      </c>
      <c r="D19" s="6">
        <v>10</v>
      </c>
      <c r="E19" s="6">
        <v>10</v>
      </c>
      <c r="F19" s="6">
        <v>10</v>
      </c>
      <c r="G19" s="6">
        <v>10</v>
      </c>
      <c r="H19" s="6">
        <v>10</v>
      </c>
      <c r="I19" s="6">
        <v>10</v>
      </c>
      <c r="J19" s="6">
        <v>10</v>
      </c>
      <c r="K19" s="6">
        <v>10</v>
      </c>
      <c r="L19" s="6">
        <v>10</v>
      </c>
      <c r="M19" s="6">
        <v>10</v>
      </c>
      <c r="N19" s="6">
        <v>10</v>
      </c>
      <c r="O19" s="6">
        <v>10</v>
      </c>
      <c r="P19" s="6">
        <v>10</v>
      </c>
      <c r="Q19" s="6">
        <v>10</v>
      </c>
      <c r="R19" s="6">
        <v>10</v>
      </c>
    </row>
    <row r="20" spans="1:18" s="43" customFormat="1" ht="28.5" customHeight="1" x14ac:dyDescent="0.25">
      <c r="A20" s="6">
        <v>10</v>
      </c>
      <c r="B20" s="6" t="s">
        <v>24</v>
      </c>
      <c r="C20" s="7" t="s">
        <v>25</v>
      </c>
      <c r="D20" s="6">
        <v>10</v>
      </c>
      <c r="E20" s="6">
        <v>10</v>
      </c>
      <c r="F20" s="6">
        <v>10</v>
      </c>
      <c r="G20" s="6">
        <v>10</v>
      </c>
      <c r="H20" s="6">
        <v>10</v>
      </c>
      <c r="I20" s="6">
        <v>10</v>
      </c>
      <c r="J20" s="6">
        <v>10</v>
      </c>
      <c r="K20" s="6">
        <v>10</v>
      </c>
      <c r="L20" s="6">
        <v>10</v>
      </c>
      <c r="M20" s="6">
        <v>10</v>
      </c>
      <c r="N20" s="6">
        <v>10</v>
      </c>
      <c r="O20" s="6">
        <v>10</v>
      </c>
      <c r="P20" s="6">
        <v>10</v>
      </c>
      <c r="Q20" s="6">
        <v>10</v>
      </c>
      <c r="R20" s="6">
        <v>10</v>
      </c>
    </row>
    <row r="21" spans="1:18" s="43" customFormat="1" ht="28.5" customHeight="1" x14ac:dyDescent="0.25">
      <c r="A21" s="6">
        <v>11</v>
      </c>
      <c r="B21" s="6" t="s">
        <v>26</v>
      </c>
      <c r="C21" s="7" t="s">
        <v>27</v>
      </c>
      <c r="D21" s="6">
        <v>10</v>
      </c>
      <c r="E21" s="6">
        <v>10</v>
      </c>
      <c r="F21" s="6">
        <v>10</v>
      </c>
      <c r="G21" s="6">
        <v>10</v>
      </c>
      <c r="H21" s="6">
        <v>10</v>
      </c>
      <c r="I21" s="6">
        <v>10</v>
      </c>
      <c r="J21" s="6">
        <v>10</v>
      </c>
      <c r="K21" s="6">
        <v>10</v>
      </c>
      <c r="L21" s="6">
        <v>10</v>
      </c>
      <c r="M21" s="6">
        <v>10</v>
      </c>
      <c r="N21" s="6">
        <v>10</v>
      </c>
      <c r="O21" s="6">
        <v>10</v>
      </c>
      <c r="P21" s="6">
        <v>10</v>
      </c>
      <c r="Q21" s="6">
        <v>10</v>
      </c>
      <c r="R21" s="6">
        <v>10</v>
      </c>
    </row>
    <row r="22" spans="1:18" s="43" customFormat="1" ht="28.5" customHeight="1" x14ac:dyDescent="0.25">
      <c r="A22" s="6">
        <v>12</v>
      </c>
      <c r="B22" s="6" t="s">
        <v>28</v>
      </c>
      <c r="C22" s="7" t="s">
        <v>29</v>
      </c>
      <c r="D22" s="6">
        <v>10</v>
      </c>
      <c r="E22" s="6">
        <v>10</v>
      </c>
      <c r="F22" s="6">
        <v>10</v>
      </c>
      <c r="G22" s="6">
        <v>10</v>
      </c>
      <c r="H22" s="6">
        <v>10</v>
      </c>
      <c r="I22" s="6">
        <v>10</v>
      </c>
      <c r="J22" s="6">
        <v>10</v>
      </c>
      <c r="K22" s="6">
        <v>10</v>
      </c>
      <c r="L22" s="6">
        <v>10</v>
      </c>
      <c r="M22" s="6">
        <v>10</v>
      </c>
      <c r="N22" s="6">
        <v>10</v>
      </c>
      <c r="O22" s="6">
        <v>10</v>
      </c>
      <c r="P22" s="6">
        <v>10</v>
      </c>
      <c r="Q22" s="6">
        <v>10</v>
      </c>
      <c r="R22" s="6">
        <v>10</v>
      </c>
    </row>
    <row r="23" spans="1:18" s="43" customFormat="1" ht="28.5" customHeight="1" x14ac:dyDescent="0.25">
      <c r="A23" s="6">
        <v>13</v>
      </c>
      <c r="B23" s="6" t="s">
        <v>30</v>
      </c>
      <c r="C23" s="7" t="s">
        <v>31</v>
      </c>
      <c r="D23" s="6">
        <v>10</v>
      </c>
      <c r="E23" s="6">
        <v>10</v>
      </c>
      <c r="F23" s="6">
        <v>10</v>
      </c>
      <c r="G23" s="6">
        <v>10</v>
      </c>
      <c r="H23" s="6">
        <v>10</v>
      </c>
      <c r="I23" s="6">
        <v>10</v>
      </c>
      <c r="J23" s="6">
        <v>10</v>
      </c>
      <c r="K23" s="6">
        <v>10</v>
      </c>
      <c r="L23" s="6">
        <v>10</v>
      </c>
      <c r="M23" s="6">
        <v>10</v>
      </c>
      <c r="N23" s="6">
        <v>10</v>
      </c>
      <c r="O23" s="6">
        <v>10</v>
      </c>
      <c r="P23" s="6">
        <v>10</v>
      </c>
      <c r="Q23" s="6">
        <v>10</v>
      </c>
      <c r="R23" s="6">
        <v>10</v>
      </c>
    </row>
    <row r="24" spans="1:18" s="43" customFormat="1" ht="28.5" customHeight="1" x14ac:dyDescent="0.25">
      <c r="A24" s="6">
        <v>14</v>
      </c>
      <c r="B24" s="6" t="s">
        <v>32</v>
      </c>
      <c r="C24" s="7" t="s">
        <v>33</v>
      </c>
      <c r="D24" s="6">
        <v>10</v>
      </c>
      <c r="E24" s="6">
        <v>10</v>
      </c>
      <c r="F24" s="6">
        <v>10</v>
      </c>
      <c r="G24" s="6">
        <v>10</v>
      </c>
      <c r="H24" s="6">
        <v>10</v>
      </c>
      <c r="I24" s="6">
        <v>10</v>
      </c>
      <c r="J24" s="6">
        <v>10</v>
      </c>
      <c r="K24" s="6">
        <v>10</v>
      </c>
      <c r="L24" s="6">
        <v>10</v>
      </c>
      <c r="M24" s="6">
        <v>10</v>
      </c>
      <c r="N24" s="6">
        <v>10</v>
      </c>
      <c r="O24" s="6">
        <v>10</v>
      </c>
      <c r="P24" s="6">
        <v>10</v>
      </c>
      <c r="Q24" s="6">
        <v>10</v>
      </c>
      <c r="R24" s="6">
        <v>10</v>
      </c>
    </row>
    <row r="25" spans="1:18" s="43" customFormat="1" ht="28.5" customHeight="1" x14ac:dyDescent="0.25">
      <c r="A25" s="6">
        <v>15</v>
      </c>
      <c r="B25" s="6" t="s">
        <v>34</v>
      </c>
      <c r="C25" s="7" t="s">
        <v>35</v>
      </c>
      <c r="D25" s="6">
        <v>10</v>
      </c>
      <c r="E25" s="6">
        <v>10</v>
      </c>
      <c r="F25" s="6">
        <v>10</v>
      </c>
      <c r="G25" s="6">
        <v>10</v>
      </c>
      <c r="H25" s="6">
        <v>10</v>
      </c>
      <c r="I25" s="6">
        <v>10</v>
      </c>
      <c r="J25" s="6">
        <v>10</v>
      </c>
      <c r="K25" s="6">
        <v>10</v>
      </c>
      <c r="L25" s="6">
        <v>10</v>
      </c>
      <c r="M25" s="6">
        <v>10</v>
      </c>
      <c r="N25" s="6">
        <v>10</v>
      </c>
      <c r="O25" s="6">
        <v>10</v>
      </c>
      <c r="P25" s="6">
        <v>10</v>
      </c>
      <c r="Q25" s="6">
        <v>10</v>
      </c>
      <c r="R25" s="6">
        <v>10</v>
      </c>
    </row>
    <row r="26" spans="1:18" s="43" customFormat="1" ht="28.5" customHeight="1" x14ac:dyDescent="0.25">
      <c r="A26" s="6">
        <v>16</v>
      </c>
      <c r="B26" s="6" t="s">
        <v>36</v>
      </c>
      <c r="C26" s="7" t="s">
        <v>37</v>
      </c>
      <c r="D26" s="6">
        <v>10</v>
      </c>
      <c r="E26" s="6">
        <v>10</v>
      </c>
      <c r="F26" s="6">
        <v>10</v>
      </c>
      <c r="G26" s="6">
        <v>10</v>
      </c>
      <c r="H26" s="6">
        <v>10</v>
      </c>
      <c r="I26" s="6">
        <v>10</v>
      </c>
      <c r="J26" s="6">
        <v>10</v>
      </c>
      <c r="K26" s="6">
        <v>10</v>
      </c>
      <c r="L26" s="6">
        <v>10</v>
      </c>
      <c r="M26" s="6">
        <v>10</v>
      </c>
      <c r="N26" s="6">
        <v>10</v>
      </c>
      <c r="O26" s="6">
        <v>10</v>
      </c>
      <c r="P26" s="6">
        <v>10</v>
      </c>
      <c r="Q26" s="6">
        <v>10</v>
      </c>
      <c r="R26" s="6">
        <v>10</v>
      </c>
    </row>
    <row r="27" spans="1:18" s="43" customFormat="1" ht="28.5" customHeight="1" x14ac:dyDescent="0.25">
      <c r="A27" s="6">
        <v>17</v>
      </c>
      <c r="B27" s="6" t="s">
        <v>38</v>
      </c>
      <c r="C27" s="7" t="s">
        <v>39</v>
      </c>
      <c r="D27" s="6">
        <v>10</v>
      </c>
      <c r="E27" s="6">
        <v>10</v>
      </c>
      <c r="F27" s="6">
        <v>10</v>
      </c>
      <c r="G27" s="6">
        <v>10</v>
      </c>
      <c r="H27" s="6">
        <v>10</v>
      </c>
      <c r="I27" s="6">
        <v>10</v>
      </c>
      <c r="J27" s="6">
        <v>10</v>
      </c>
      <c r="K27" s="6">
        <v>10</v>
      </c>
      <c r="L27" s="6">
        <v>10</v>
      </c>
      <c r="M27" s="6">
        <v>10</v>
      </c>
      <c r="N27" s="6">
        <v>10</v>
      </c>
      <c r="O27" s="6">
        <v>10</v>
      </c>
      <c r="P27" s="6">
        <v>10</v>
      </c>
      <c r="Q27" s="6">
        <v>10</v>
      </c>
      <c r="R27" s="6">
        <v>10</v>
      </c>
    </row>
    <row r="28" spans="1:18" s="43" customFormat="1" ht="28.5" customHeight="1" x14ac:dyDescent="0.25">
      <c r="A28" s="6">
        <v>18</v>
      </c>
      <c r="B28" s="6" t="s">
        <v>40</v>
      </c>
      <c r="C28" s="7" t="s">
        <v>41</v>
      </c>
      <c r="D28" s="6">
        <v>10</v>
      </c>
      <c r="E28" s="6">
        <v>10</v>
      </c>
      <c r="F28" s="6">
        <v>10</v>
      </c>
      <c r="G28" s="6">
        <v>10</v>
      </c>
      <c r="H28" s="6">
        <v>10</v>
      </c>
      <c r="I28" s="6">
        <v>10</v>
      </c>
      <c r="J28" s="6">
        <v>10</v>
      </c>
      <c r="K28" s="6">
        <v>10</v>
      </c>
      <c r="L28" s="6">
        <v>10</v>
      </c>
      <c r="M28" s="6">
        <v>10</v>
      </c>
      <c r="N28" s="6">
        <v>10</v>
      </c>
      <c r="O28" s="6">
        <v>10</v>
      </c>
      <c r="P28" s="6">
        <v>10</v>
      </c>
      <c r="Q28" s="6">
        <v>10</v>
      </c>
      <c r="R28" s="6">
        <v>10</v>
      </c>
    </row>
    <row r="29" spans="1:18" s="43" customFormat="1" ht="28.5" customHeight="1" x14ac:dyDescent="0.25">
      <c r="A29" s="6">
        <v>19</v>
      </c>
      <c r="B29" s="6" t="s">
        <v>42</v>
      </c>
      <c r="C29" s="7" t="s">
        <v>43</v>
      </c>
      <c r="D29" s="6">
        <v>10</v>
      </c>
      <c r="E29" s="6">
        <v>10</v>
      </c>
      <c r="F29" s="6">
        <v>10</v>
      </c>
      <c r="G29" s="6">
        <v>10</v>
      </c>
      <c r="H29" s="6">
        <v>10</v>
      </c>
      <c r="I29" s="6">
        <v>10</v>
      </c>
      <c r="J29" s="6">
        <v>10</v>
      </c>
      <c r="K29" s="6">
        <v>10</v>
      </c>
      <c r="L29" s="6">
        <v>10</v>
      </c>
      <c r="M29" s="6">
        <v>10</v>
      </c>
      <c r="N29" s="6">
        <v>10</v>
      </c>
      <c r="O29" s="6">
        <v>10</v>
      </c>
      <c r="P29" s="6">
        <v>10</v>
      </c>
      <c r="Q29" s="6">
        <v>10</v>
      </c>
      <c r="R29" s="6">
        <v>10</v>
      </c>
    </row>
    <row r="30" spans="1:18" s="43" customFormat="1" ht="28.5" customHeight="1" x14ac:dyDescent="0.25">
      <c r="A30" s="6">
        <v>20</v>
      </c>
      <c r="B30" s="6" t="s">
        <v>44</v>
      </c>
      <c r="C30" s="7" t="s">
        <v>45</v>
      </c>
      <c r="D30" s="6">
        <v>10</v>
      </c>
      <c r="E30" s="6">
        <v>10</v>
      </c>
      <c r="F30" s="6">
        <v>10</v>
      </c>
      <c r="G30" s="6">
        <v>10</v>
      </c>
      <c r="H30" s="6">
        <v>10</v>
      </c>
      <c r="I30" s="6">
        <v>10</v>
      </c>
      <c r="J30" s="6">
        <v>10</v>
      </c>
      <c r="K30" s="6">
        <v>10</v>
      </c>
      <c r="L30" s="6">
        <v>10</v>
      </c>
      <c r="M30" s="6">
        <v>10</v>
      </c>
      <c r="N30" s="6">
        <v>10</v>
      </c>
      <c r="O30" s="6">
        <v>10</v>
      </c>
      <c r="P30" s="6">
        <v>10</v>
      </c>
      <c r="Q30" s="6">
        <v>10</v>
      </c>
      <c r="R30" s="6">
        <v>10</v>
      </c>
    </row>
    <row r="31" spans="1:18" s="43" customFormat="1" ht="28.5" customHeight="1" x14ac:dyDescent="0.25">
      <c r="A31" s="6">
        <v>21</v>
      </c>
      <c r="B31" s="6" t="s">
        <v>46</v>
      </c>
      <c r="C31" s="7" t="s">
        <v>47</v>
      </c>
      <c r="D31" s="6">
        <v>10</v>
      </c>
      <c r="E31" s="6">
        <v>10</v>
      </c>
      <c r="F31" s="6">
        <v>10</v>
      </c>
      <c r="G31" s="6">
        <v>10</v>
      </c>
      <c r="H31" s="6">
        <v>10</v>
      </c>
      <c r="I31" s="6">
        <v>10</v>
      </c>
      <c r="J31" s="6">
        <v>10</v>
      </c>
      <c r="K31" s="6">
        <v>10</v>
      </c>
      <c r="L31" s="6">
        <v>10</v>
      </c>
      <c r="M31" s="6">
        <v>10</v>
      </c>
      <c r="N31" s="6">
        <v>10</v>
      </c>
      <c r="O31" s="6">
        <v>10</v>
      </c>
      <c r="P31" s="6">
        <v>10</v>
      </c>
      <c r="Q31" s="6">
        <v>10</v>
      </c>
      <c r="R31" s="6">
        <v>10</v>
      </c>
    </row>
    <row r="32" spans="1:18" s="43" customFormat="1" ht="28.5" customHeight="1" x14ac:dyDescent="0.25">
      <c r="A32" s="6">
        <v>22</v>
      </c>
      <c r="B32" s="6" t="s">
        <v>48</v>
      </c>
      <c r="C32" s="32" t="s">
        <v>49</v>
      </c>
      <c r="D32" s="6">
        <v>10</v>
      </c>
      <c r="E32" s="6">
        <v>10</v>
      </c>
      <c r="F32" s="6">
        <v>10</v>
      </c>
      <c r="G32" s="6">
        <v>10</v>
      </c>
      <c r="H32" s="6">
        <v>10</v>
      </c>
      <c r="I32" s="6">
        <v>10</v>
      </c>
      <c r="J32" s="6">
        <v>10</v>
      </c>
      <c r="K32" s="6">
        <v>10</v>
      </c>
      <c r="L32" s="6">
        <v>10</v>
      </c>
      <c r="M32" s="6">
        <v>10</v>
      </c>
      <c r="N32" s="6">
        <v>10</v>
      </c>
      <c r="O32" s="6">
        <v>10</v>
      </c>
      <c r="P32" s="6">
        <v>10</v>
      </c>
      <c r="Q32" s="6">
        <v>10</v>
      </c>
      <c r="R32" s="6">
        <v>10</v>
      </c>
    </row>
    <row r="33" spans="1:19" s="43" customFormat="1" ht="28.5" customHeight="1" x14ac:dyDescent="0.25">
      <c r="A33" s="6">
        <v>23</v>
      </c>
      <c r="B33" s="6" t="s">
        <v>50</v>
      </c>
      <c r="C33" s="7" t="s">
        <v>51</v>
      </c>
      <c r="D33" s="6">
        <v>10</v>
      </c>
      <c r="E33" s="6">
        <v>10</v>
      </c>
      <c r="F33" s="6">
        <v>10</v>
      </c>
      <c r="G33" s="6">
        <v>10</v>
      </c>
      <c r="H33" s="6">
        <v>10</v>
      </c>
      <c r="I33" s="6">
        <v>10</v>
      </c>
      <c r="J33" s="6">
        <v>10</v>
      </c>
      <c r="K33" s="6">
        <v>10</v>
      </c>
      <c r="L33" s="6">
        <v>10</v>
      </c>
      <c r="M33" s="6">
        <v>10</v>
      </c>
      <c r="N33" s="6">
        <v>10</v>
      </c>
      <c r="O33" s="6">
        <v>10</v>
      </c>
      <c r="P33" s="6">
        <v>10</v>
      </c>
      <c r="Q33" s="6">
        <v>10</v>
      </c>
      <c r="R33" s="6">
        <v>10</v>
      </c>
      <c r="S33" s="47"/>
    </row>
    <row r="34" spans="1:19" s="43" customFormat="1" ht="28.5" customHeight="1" x14ac:dyDescent="0.25">
      <c r="A34" s="6">
        <v>24</v>
      </c>
      <c r="B34" s="6" t="s">
        <v>52</v>
      </c>
      <c r="C34" s="7" t="s">
        <v>53</v>
      </c>
      <c r="D34" s="6">
        <v>10</v>
      </c>
      <c r="E34" s="6">
        <v>10</v>
      </c>
      <c r="F34" s="6">
        <v>10</v>
      </c>
      <c r="G34" s="6">
        <v>10</v>
      </c>
      <c r="H34" s="6">
        <v>10</v>
      </c>
      <c r="I34" s="6">
        <v>10</v>
      </c>
      <c r="J34" s="6">
        <v>10</v>
      </c>
      <c r="K34" s="6">
        <v>10</v>
      </c>
      <c r="L34" s="6">
        <v>10</v>
      </c>
      <c r="M34" s="6">
        <v>10</v>
      </c>
      <c r="N34" s="6">
        <v>10</v>
      </c>
      <c r="O34" s="6">
        <v>10</v>
      </c>
      <c r="P34" s="6">
        <v>10</v>
      </c>
      <c r="Q34" s="6">
        <v>10</v>
      </c>
      <c r="R34" s="6">
        <v>10</v>
      </c>
      <c r="S34" s="48"/>
    </row>
    <row r="35" spans="1:19" s="43" customFormat="1" ht="28.5" customHeight="1" x14ac:dyDescent="0.25">
      <c r="A35" s="6">
        <v>25</v>
      </c>
      <c r="B35" s="6" t="s">
        <v>54</v>
      </c>
      <c r="C35" s="7" t="s">
        <v>55</v>
      </c>
      <c r="D35" s="6">
        <v>10</v>
      </c>
      <c r="E35" s="6">
        <v>10</v>
      </c>
      <c r="F35" s="6">
        <v>10</v>
      </c>
      <c r="G35" s="6">
        <v>10</v>
      </c>
      <c r="H35" s="6">
        <v>10</v>
      </c>
      <c r="I35" s="6">
        <v>10</v>
      </c>
      <c r="J35" s="6">
        <v>10</v>
      </c>
      <c r="K35" s="6">
        <v>10</v>
      </c>
      <c r="L35" s="6">
        <v>10</v>
      </c>
      <c r="M35" s="6">
        <v>10</v>
      </c>
      <c r="N35" s="6">
        <v>10</v>
      </c>
      <c r="O35" s="6">
        <v>10</v>
      </c>
      <c r="P35" s="6">
        <v>10</v>
      </c>
      <c r="Q35" s="6">
        <v>10</v>
      </c>
      <c r="R35" s="6">
        <v>10</v>
      </c>
      <c r="S35" s="48"/>
    </row>
    <row r="36" spans="1:19" s="43" customFormat="1" ht="28.5" customHeight="1" x14ac:dyDescent="0.25">
      <c r="A36" s="6">
        <v>26</v>
      </c>
      <c r="B36" s="6" t="s">
        <v>56</v>
      </c>
      <c r="C36" s="7" t="s">
        <v>57</v>
      </c>
      <c r="D36" s="6">
        <v>10</v>
      </c>
      <c r="E36" s="6">
        <v>10</v>
      </c>
      <c r="F36" s="6">
        <v>10</v>
      </c>
      <c r="G36" s="6">
        <v>10</v>
      </c>
      <c r="H36" s="6">
        <v>10</v>
      </c>
      <c r="I36" s="6">
        <v>10</v>
      </c>
      <c r="J36" s="6">
        <v>10</v>
      </c>
      <c r="K36" s="6">
        <v>10</v>
      </c>
      <c r="L36" s="6">
        <v>10</v>
      </c>
      <c r="M36" s="6">
        <v>10</v>
      </c>
      <c r="N36" s="6">
        <v>10</v>
      </c>
      <c r="O36" s="6">
        <v>10</v>
      </c>
      <c r="P36" s="6">
        <v>10</v>
      </c>
      <c r="Q36" s="6">
        <v>10</v>
      </c>
      <c r="R36" s="6">
        <v>10</v>
      </c>
      <c r="S36" s="48"/>
    </row>
    <row r="37" spans="1:19" x14ac:dyDescent="0.25">
      <c r="S37" s="14"/>
    </row>
    <row r="38" spans="1:19" x14ac:dyDescent="0.25">
      <c r="S38" s="14"/>
    </row>
    <row r="40" spans="1:19" ht="15.75" x14ac:dyDescent="0.25">
      <c r="A40" s="210" t="s">
        <v>144</v>
      </c>
      <c r="B40" s="210"/>
      <c r="C40" s="210"/>
      <c r="D40" s="210"/>
      <c r="E40" s="210"/>
      <c r="F40" s="210"/>
      <c r="G40" s="210"/>
      <c r="H40" s="210"/>
      <c r="I40" s="210"/>
      <c r="J40" s="210"/>
      <c r="K40" s="210"/>
      <c r="L40" s="210"/>
      <c r="M40" s="210"/>
      <c r="O40" s="210" t="s">
        <v>138</v>
      </c>
      <c r="P40" s="210"/>
      <c r="Q40" s="210"/>
    </row>
    <row r="41" spans="1:19" x14ac:dyDescent="0.25">
      <c r="A41" s="211" t="s">
        <v>189</v>
      </c>
      <c r="B41" s="211"/>
      <c r="C41" s="211"/>
      <c r="D41" s="211"/>
      <c r="E41" s="211"/>
      <c r="F41"/>
      <c r="G41"/>
    </row>
    <row r="42" spans="1:19" x14ac:dyDescent="0.25">
      <c r="D42"/>
      <c r="E42"/>
      <c r="F42"/>
      <c r="G42"/>
    </row>
    <row r="43" spans="1:19" x14ac:dyDescent="0.25">
      <c r="F43"/>
      <c r="G43"/>
    </row>
  </sheetData>
  <mergeCells count="13">
    <mergeCell ref="A8:R8"/>
    <mergeCell ref="A40:M40"/>
    <mergeCell ref="A41:E41"/>
    <mergeCell ref="Q9:Q10"/>
    <mergeCell ref="R9:R10"/>
    <mergeCell ref="D10:P10"/>
    <mergeCell ref="O40:Q40"/>
    <mergeCell ref="A1:R1"/>
    <mergeCell ref="A2:R2"/>
    <mergeCell ref="A4:R4"/>
    <mergeCell ref="A5:R5"/>
    <mergeCell ref="A6:Q6"/>
    <mergeCell ref="A3:J3"/>
  </mergeCells>
  <printOptions horizontalCentered="1"/>
  <pageMargins left="0.2" right="0.2" top="0" bottom="0" header="0" footer="0"/>
  <pageSetup paperSize="9" scale="73" orientation="landscape" r:id="rId1"/>
  <rowBreaks count="2" manualBreakCount="2">
    <brk id="29" max="22" man="1"/>
    <brk id="42" max="22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1"/>
  <sheetViews>
    <sheetView view="pageBreakPreview" zoomScale="70" zoomScaleNormal="80" zoomScaleSheetLayoutView="70" workbookViewId="0">
      <selection activeCell="I17" sqref="I17"/>
    </sheetView>
  </sheetViews>
  <sheetFormatPr defaultRowHeight="15" x14ac:dyDescent="0.25"/>
  <cols>
    <col min="1" max="1" width="6.85546875" customWidth="1"/>
    <col min="2" max="2" width="18.85546875" customWidth="1"/>
    <col min="3" max="3" width="22.5703125" customWidth="1"/>
    <col min="4" max="11" width="18.85546875" customWidth="1"/>
  </cols>
  <sheetData>
    <row r="1" spans="1:11" s="34" customFormat="1" ht="21.75" customHeight="1" x14ac:dyDescent="0.35">
      <c r="A1" s="203" t="s">
        <v>135</v>
      </c>
      <c r="B1" s="203"/>
      <c r="C1" s="203"/>
      <c r="D1" s="203"/>
      <c r="E1" s="203"/>
      <c r="F1" s="203"/>
      <c r="G1" s="203"/>
      <c r="H1" s="203"/>
      <c r="I1" s="203"/>
      <c r="J1" s="203"/>
      <c r="K1" s="203"/>
    </row>
    <row r="2" spans="1:11" s="34" customFormat="1" ht="18" customHeight="1" x14ac:dyDescent="0.35">
      <c r="A2" s="203" t="s">
        <v>136</v>
      </c>
      <c r="B2" s="203"/>
      <c r="C2" s="203"/>
      <c r="D2" s="203"/>
      <c r="E2" s="203"/>
      <c r="F2" s="203"/>
      <c r="G2" s="203"/>
      <c r="H2" s="203"/>
      <c r="I2" s="203"/>
      <c r="J2" s="203"/>
      <c r="K2" s="203"/>
    </row>
    <row r="3" spans="1:11" ht="12.75" customHeight="1" x14ac:dyDescent="0.25">
      <c r="A3" s="208"/>
      <c r="B3" s="208"/>
      <c r="C3" s="208"/>
      <c r="D3" s="208"/>
      <c r="E3" s="208"/>
      <c r="F3" s="208"/>
      <c r="G3" s="208"/>
      <c r="H3" s="208"/>
      <c r="I3" s="208"/>
      <c r="J3" s="208"/>
      <c r="K3" s="208"/>
    </row>
    <row r="4" spans="1:11" s="70" customFormat="1" ht="27.75" customHeight="1" x14ac:dyDescent="0.3">
      <c r="A4" s="221" t="s">
        <v>195</v>
      </c>
      <c r="B4" s="222"/>
      <c r="C4" s="222"/>
      <c r="D4" s="222"/>
      <c r="E4" s="222"/>
      <c r="F4" s="222"/>
      <c r="G4" s="222"/>
      <c r="H4" s="222"/>
      <c r="I4" s="222"/>
      <c r="J4" s="222"/>
      <c r="K4" s="222"/>
    </row>
    <row r="5" spans="1:11" s="70" customFormat="1" ht="27.75" customHeight="1" x14ac:dyDescent="0.3">
      <c r="A5" s="223" t="s">
        <v>196</v>
      </c>
      <c r="B5" s="224"/>
      <c r="C5" s="224"/>
      <c r="D5" s="224"/>
      <c r="E5" s="224"/>
      <c r="F5" s="224"/>
      <c r="G5" s="224"/>
      <c r="H5" s="224"/>
      <c r="I5" s="224"/>
      <c r="J5" s="224"/>
      <c r="K5" s="224"/>
    </row>
    <row r="6" spans="1:11" s="70" customFormat="1" ht="27.75" customHeight="1" x14ac:dyDescent="0.3">
      <c r="A6" s="221" t="s">
        <v>197</v>
      </c>
      <c r="B6" s="222"/>
      <c r="C6" s="222"/>
      <c r="D6" s="222"/>
      <c r="E6" s="222"/>
      <c r="F6" s="222"/>
      <c r="G6" s="222"/>
      <c r="H6" s="222"/>
      <c r="I6" s="222"/>
      <c r="J6" s="222"/>
      <c r="K6" s="222"/>
    </row>
    <row r="7" spans="1:11" x14ac:dyDescent="0.25">
      <c r="D7" s="1"/>
      <c r="E7" s="1"/>
      <c r="F7" s="1"/>
      <c r="G7" s="1"/>
      <c r="H7" s="1"/>
      <c r="I7" s="1"/>
      <c r="J7" s="1"/>
      <c r="K7" s="1"/>
    </row>
    <row r="8" spans="1:11" ht="29.25" customHeight="1" x14ac:dyDescent="0.25">
      <c r="A8" s="225" t="s">
        <v>149</v>
      </c>
      <c r="B8" s="225"/>
      <c r="C8" s="225"/>
      <c r="D8" s="225"/>
      <c r="E8" s="225"/>
      <c r="F8" s="225"/>
      <c r="G8" s="225"/>
      <c r="H8" s="225"/>
      <c r="I8" s="225"/>
      <c r="J8" s="225"/>
      <c r="K8" s="225"/>
    </row>
    <row r="9" spans="1:11" ht="1.5" customHeight="1" x14ac:dyDescent="0.25"/>
    <row r="10" spans="1:11" ht="48" customHeight="1" x14ac:dyDescent="0.25">
      <c r="A10" s="71" t="s">
        <v>2</v>
      </c>
      <c r="B10" s="71" t="s">
        <v>1</v>
      </c>
      <c r="C10" s="64" t="s">
        <v>3</v>
      </c>
      <c r="D10" s="64">
        <v>1</v>
      </c>
      <c r="E10" s="64">
        <v>2</v>
      </c>
      <c r="F10" s="64">
        <v>3</v>
      </c>
      <c r="G10" s="64">
        <v>4</v>
      </c>
      <c r="H10" s="64">
        <v>5</v>
      </c>
      <c r="I10" s="64">
        <v>6</v>
      </c>
      <c r="J10" s="64">
        <v>7</v>
      </c>
      <c r="K10" s="227" t="s">
        <v>58</v>
      </c>
    </row>
    <row r="11" spans="1:11" ht="33" customHeight="1" x14ac:dyDescent="0.25">
      <c r="A11" s="64"/>
      <c r="B11" s="64"/>
      <c r="C11" s="64"/>
      <c r="D11" s="226" t="s">
        <v>212</v>
      </c>
      <c r="E11" s="226"/>
      <c r="F11" s="226"/>
      <c r="G11" s="226"/>
      <c r="H11" s="226"/>
      <c r="I11" s="226"/>
      <c r="J11" s="226"/>
      <c r="K11" s="227"/>
    </row>
    <row r="12" spans="1:11" s="43" customFormat="1" ht="38.25" customHeight="1" x14ac:dyDescent="0.25">
      <c r="A12" s="72">
        <v>1</v>
      </c>
      <c r="B12" s="72" t="s">
        <v>6</v>
      </c>
      <c r="C12" s="73" t="s">
        <v>7</v>
      </c>
      <c r="D12" s="72">
        <v>10</v>
      </c>
      <c r="E12" s="72">
        <v>10</v>
      </c>
      <c r="F12" s="72">
        <v>10</v>
      </c>
      <c r="G12" s="72">
        <v>10</v>
      </c>
      <c r="H12" s="72">
        <v>10</v>
      </c>
      <c r="I12" s="72">
        <v>10</v>
      </c>
      <c r="J12" s="72">
        <v>10</v>
      </c>
      <c r="K12" s="74">
        <f>SUM(D12:J12)/7</f>
        <v>10</v>
      </c>
    </row>
    <row r="13" spans="1:11" s="43" customFormat="1" ht="38.25" customHeight="1" x14ac:dyDescent="0.25">
      <c r="A13" s="72">
        <v>2</v>
      </c>
      <c r="B13" s="72" t="s">
        <v>8</v>
      </c>
      <c r="C13" s="73" t="s">
        <v>9</v>
      </c>
      <c r="D13" s="72">
        <v>9</v>
      </c>
      <c r="E13" s="72">
        <v>9</v>
      </c>
      <c r="F13" s="72">
        <v>9</v>
      </c>
      <c r="G13" s="72">
        <v>10</v>
      </c>
      <c r="H13" s="72">
        <v>10</v>
      </c>
      <c r="I13" s="72">
        <v>10</v>
      </c>
      <c r="J13" s="72">
        <v>10</v>
      </c>
      <c r="K13" s="74">
        <f t="shared" ref="K13:K37" si="0">SUM(D13:J13)/7</f>
        <v>9.5714285714285712</v>
      </c>
    </row>
    <row r="14" spans="1:11" s="43" customFormat="1" ht="38.25" customHeight="1" x14ac:dyDescent="0.25">
      <c r="A14" s="72">
        <v>3</v>
      </c>
      <c r="B14" s="72" t="s">
        <v>10</v>
      </c>
      <c r="C14" s="73" t="s">
        <v>11</v>
      </c>
      <c r="D14" s="72">
        <v>10</v>
      </c>
      <c r="E14" s="72">
        <v>10</v>
      </c>
      <c r="F14" s="72">
        <v>10</v>
      </c>
      <c r="G14" s="72">
        <v>10</v>
      </c>
      <c r="H14" s="72">
        <v>10</v>
      </c>
      <c r="I14" s="72">
        <v>10</v>
      </c>
      <c r="J14" s="72">
        <v>10</v>
      </c>
      <c r="K14" s="74">
        <f t="shared" si="0"/>
        <v>10</v>
      </c>
    </row>
    <row r="15" spans="1:11" s="43" customFormat="1" ht="38.25" customHeight="1" x14ac:dyDescent="0.25">
      <c r="A15" s="72">
        <v>4</v>
      </c>
      <c r="B15" s="72" t="s">
        <v>12</v>
      </c>
      <c r="C15" s="73" t="s">
        <v>13</v>
      </c>
      <c r="D15" s="72">
        <v>10</v>
      </c>
      <c r="E15" s="72">
        <v>10</v>
      </c>
      <c r="F15" s="72">
        <v>10</v>
      </c>
      <c r="G15" s="72">
        <v>10</v>
      </c>
      <c r="H15" s="72">
        <v>9</v>
      </c>
      <c r="I15" s="72">
        <v>10</v>
      </c>
      <c r="J15" s="72">
        <v>10</v>
      </c>
      <c r="K15" s="74">
        <f t="shared" si="0"/>
        <v>9.8571428571428577</v>
      </c>
    </row>
    <row r="16" spans="1:11" s="43" customFormat="1" ht="38.25" customHeight="1" x14ac:dyDescent="0.25">
      <c r="A16" s="72">
        <v>5</v>
      </c>
      <c r="B16" s="72" t="s">
        <v>14</v>
      </c>
      <c r="C16" s="73" t="s">
        <v>15</v>
      </c>
      <c r="D16" s="72">
        <v>10</v>
      </c>
      <c r="E16" s="72">
        <v>10</v>
      </c>
      <c r="F16" s="72">
        <v>10</v>
      </c>
      <c r="G16" s="72">
        <v>10</v>
      </c>
      <c r="H16" s="72">
        <v>10</v>
      </c>
      <c r="I16" s="72">
        <v>10</v>
      </c>
      <c r="J16" s="72">
        <v>10</v>
      </c>
      <c r="K16" s="74">
        <f t="shared" si="0"/>
        <v>10</v>
      </c>
    </row>
    <row r="17" spans="1:11" s="43" customFormat="1" ht="38.25" customHeight="1" x14ac:dyDescent="0.25">
      <c r="A17" s="72">
        <v>6</v>
      </c>
      <c r="B17" s="72" t="s">
        <v>16</v>
      </c>
      <c r="C17" s="73" t="s">
        <v>17</v>
      </c>
      <c r="D17" s="72">
        <v>10</v>
      </c>
      <c r="E17" s="72">
        <v>10</v>
      </c>
      <c r="F17" s="72">
        <v>10</v>
      </c>
      <c r="G17" s="72">
        <v>10</v>
      </c>
      <c r="H17" s="72">
        <v>10</v>
      </c>
      <c r="I17" s="72">
        <v>10</v>
      </c>
      <c r="J17" s="72">
        <v>10</v>
      </c>
      <c r="K17" s="74">
        <f t="shared" si="0"/>
        <v>10</v>
      </c>
    </row>
    <row r="18" spans="1:11" s="43" customFormat="1" ht="38.25" customHeight="1" x14ac:dyDescent="0.25">
      <c r="A18" s="72">
        <v>7</v>
      </c>
      <c r="B18" s="72" t="s">
        <v>18</v>
      </c>
      <c r="C18" s="73" t="s">
        <v>19</v>
      </c>
      <c r="D18" s="72">
        <v>10</v>
      </c>
      <c r="E18" s="72">
        <v>10</v>
      </c>
      <c r="F18" s="72">
        <v>10</v>
      </c>
      <c r="G18" s="72">
        <v>10</v>
      </c>
      <c r="H18" s="72">
        <v>10</v>
      </c>
      <c r="I18" s="72">
        <v>10</v>
      </c>
      <c r="J18" s="72">
        <v>10</v>
      </c>
      <c r="K18" s="74">
        <f t="shared" si="0"/>
        <v>10</v>
      </c>
    </row>
    <row r="19" spans="1:11" s="43" customFormat="1" ht="38.25" customHeight="1" x14ac:dyDescent="0.25">
      <c r="A19" s="72">
        <v>8</v>
      </c>
      <c r="B19" s="72" t="s">
        <v>20</v>
      </c>
      <c r="C19" s="73" t="s">
        <v>21</v>
      </c>
      <c r="D19" s="72">
        <v>10</v>
      </c>
      <c r="E19" s="72">
        <v>10</v>
      </c>
      <c r="F19" s="72">
        <v>10</v>
      </c>
      <c r="G19" s="72">
        <v>10</v>
      </c>
      <c r="H19" s="72">
        <v>10</v>
      </c>
      <c r="I19" s="72">
        <v>10</v>
      </c>
      <c r="J19" s="72">
        <v>10</v>
      </c>
      <c r="K19" s="74">
        <f t="shared" si="0"/>
        <v>10</v>
      </c>
    </row>
    <row r="20" spans="1:11" s="43" customFormat="1" ht="38.25" customHeight="1" x14ac:dyDescent="0.25">
      <c r="A20" s="72">
        <v>9</v>
      </c>
      <c r="B20" s="72" t="s">
        <v>22</v>
      </c>
      <c r="C20" s="75" t="s">
        <v>23</v>
      </c>
      <c r="D20" s="72">
        <v>10</v>
      </c>
      <c r="E20" s="72">
        <v>10</v>
      </c>
      <c r="F20" s="72">
        <v>10</v>
      </c>
      <c r="G20" s="72">
        <v>10</v>
      </c>
      <c r="H20" s="72">
        <v>10</v>
      </c>
      <c r="I20" s="72">
        <v>10</v>
      </c>
      <c r="J20" s="72">
        <v>10</v>
      </c>
      <c r="K20" s="74">
        <f t="shared" si="0"/>
        <v>10</v>
      </c>
    </row>
    <row r="21" spans="1:11" s="43" customFormat="1" ht="38.25" customHeight="1" x14ac:dyDescent="0.25">
      <c r="A21" s="72">
        <v>10</v>
      </c>
      <c r="B21" s="72" t="s">
        <v>24</v>
      </c>
      <c r="C21" s="76" t="s">
        <v>25</v>
      </c>
      <c r="D21" s="72">
        <v>10</v>
      </c>
      <c r="E21" s="72">
        <v>10</v>
      </c>
      <c r="F21" s="72">
        <v>10</v>
      </c>
      <c r="G21" s="72">
        <v>10</v>
      </c>
      <c r="H21" s="72">
        <v>10</v>
      </c>
      <c r="I21" s="72">
        <v>10</v>
      </c>
      <c r="J21" s="72">
        <v>10</v>
      </c>
      <c r="K21" s="74">
        <f t="shared" si="0"/>
        <v>10</v>
      </c>
    </row>
    <row r="22" spans="1:11" s="43" customFormat="1" ht="38.25" customHeight="1" x14ac:dyDescent="0.25">
      <c r="A22" s="72">
        <v>11</v>
      </c>
      <c r="B22" s="72" t="s">
        <v>26</v>
      </c>
      <c r="C22" s="73" t="s">
        <v>27</v>
      </c>
      <c r="D22" s="72">
        <v>10</v>
      </c>
      <c r="E22" s="72">
        <v>10</v>
      </c>
      <c r="F22" s="72">
        <v>10</v>
      </c>
      <c r="G22" s="72">
        <v>10</v>
      </c>
      <c r="H22" s="72">
        <v>10</v>
      </c>
      <c r="I22" s="72">
        <v>10</v>
      </c>
      <c r="J22" s="72">
        <v>10</v>
      </c>
      <c r="K22" s="74">
        <f t="shared" si="0"/>
        <v>10</v>
      </c>
    </row>
    <row r="23" spans="1:11" s="43" customFormat="1" ht="38.25" customHeight="1" x14ac:dyDescent="0.25">
      <c r="A23" s="72">
        <v>12</v>
      </c>
      <c r="B23" s="72" t="s">
        <v>28</v>
      </c>
      <c r="C23" s="73" t="s">
        <v>29</v>
      </c>
      <c r="D23" s="72">
        <v>10</v>
      </c>
      <c r="E23" s="72">
        <v>10</v>
      </c>
      <c r="F23" s="72">
        <v>10</v>
      </c>
      <c r="G23" s="72">
        <v>10</v>
      </c>
      <c r="H23" s="72">
        <v>10</v>
      </c>
      <c r="I23" s="72">
        <v>10</v>
      </c>
      <c r="J23" s="72">
        <v>10</v>
      </c>
      <c r="K23" s="74">
        <f t="shared" si="0"/>
        <v>10</v>
      </c>
    </row>
    <row r="24" spans="1:11" s="43" customFormat="1" ht="38.25" customHeight="1" x14ac:dyDescent="0.25">
      <c r="A24" s="72">
        <v>13</v>
      </c>
      <c r="B24" s="72" t="s">
        <v>30</v>
      </c>
      <c r="C24" s="73" t="s">
        <v>31</v>
      </c>
      <c r="D24" s="72">
        <v>10</v>
      </c>
      <c r="E24" s="72">
        <v>10</v>
      </c>
      <c r="F24" s="72">
        <v>10</v>
      </c>
      <c r="G24" s="72">
        <v>10</v>
      </c>
      <c r="H24" s="72">
        <v>9</v>
      </c>
      <c r="I24" s="72">
        <v>10</v>
      </c>
      <c r="J24" s="72">
        <v>10</v>
      </c>
      <c r="K24" s="74">
        <f t="shared" si="0"/>
        <v>9.8571428571428577</v>
      </c>
    </row>
    <row r="25" spans="1:11" s="43" customFormat="1" ht="38.25" customHeight="1" x14ac:dyDescent="0.25">
      <c r="A25" s="72">
        <v>14</v>
      </c>
      <c r="B25" s="72" t="s">
        <v>32</v>
      </c>
      <c r="C25" s="73" t="s">
        <v>33</v>
      </c>
      <c r="D25" s="72">
        <v>10</v>
      </c>
      <c r="E25" s="72">
        <v>10</v>
      </c>
      <c r="F25" s="72">
        <v>10</v>
      </c>
      <c r="G25" s="72">
        <v>10</v>
      </c>
      <c r="H25" s="72">
        <v>10</v>
      </c>
      <c r="I25" s="72">
        <v>10</v>
      </c>
      <c r="J25" s="72">
        <v>10</v>
      </c>
      <c r="K25" s="74">
        <f t="shared" si="0"/>
        <v>10</v>
      </c>
    </row>
    <row r="26" spans="1:11" s="43" customFormat="1" ht="38.25" customHeight="1" x14ac:dyDescent="0.25">
      <c r="A26" s="72">
        <v>15</v>
      </c>
      <c r="B26" s="72" t="s">
        <v>34</v>
      </c>
      <c r="C26" s="73" t="s">
        <v>35</v>
      </c>
      <c r="D26" s="72">
        <v>10</v>
      </c>
      <c r="E26" s="72">
        <v>10</v>
      </c>
      <c r="F26" s="72">
        <v>10</v>
      </c>
      <c r="G26" s="72">
        <v>10</v>
      </c>
      <c r="H26" s="72">
        <v>10</v>
      </c>
      <c r="I26" s="72">
        <v>10</v>
      </c>
      <c r="J26" s="72">
        <v>10</v>
      </c>
      <c r="K26" s="74">
        <f t="shared" si="0"/>
        <v>10</v>
      </c>
    </row>
    <row r="27" spans="1:11" s="43" customFormat="1" ht="38.25" customHeight="1" x14ac:dyDescent="0.25">
      <c r="A27" s="72">
        <v>16</v>
      </c>
      <c r="B27" s="72" t="s">
        <v>36</v>
      </c>
      <c r="C27" s="73" t="s">
        <v>37</v>
      </c>
      <c r="D27" s="72">
        <v>10</v>
      </c>
      <c r="E27" s="72">
        <v>10</v>
      </c>
      <c r="F27" s="72">
        <v>10</v>
      </c>
      <c r="G27" s="72">
        <v>10</v>
      </c>
      <c r="H27" s="72">
        <v>10</v>
      </c>
      <c r="I27" s="72">
        <v>10</v>
      </c>
      <c r="J27" s="72">
        <v>10</v>
      </c>
      <c r="K27" s="74">
        <f t="shared" si="0"/>
        <v>10</v>
      </c>
    </row>
    <row r="28" spans="1:11" s="43" customFormat="1" ht="38.25" customHeight="1" x14ac:dyDescent="0.25">
      <c r="A28" s="72">
        <v>17</v>
      </c>
      <c r="B28" s="72" t="s">
        <v>38</v>
      </c>
      <c r="C28" s="73" t="s">
        <v>39</v>
      </c>
      <c r="D28" s="72">
        <v>10</v>
      </c>
      <c r="E28" s="72">
        <v>10</v>
      </c>
      <c r="F28" s="72">
        <v>10</v>
      </c>
      <c r="G28" s="72">
        <v>10</v>
      </c>
      <c r="H28" s="72">
        <v>10</v>
      </c>
      <c r="I28" s="72">
        <v>10</v>
      </c>
      <c r="J28" s="72">
        <v>10</v>
      </c>
      <c r="K28" s="74">
        <f t="shared" si="0"/>
        <v>10</v>
      </c>
    </row>
    <row r="29" spans="1:11" s="43" customFormat="1" ht="38.25" customHeight="1" x14ac:dyDescent="0.25">
      <c r="A29" s="72">
        <v>18</v>
      </c>
      <c r="B29" s="72" t="s">
        <v>40</v>
      </c>
      <c r="C29" s="73" t="s">
        <v>41</v>
      </c>
      <c r="D29" s="72">
        <v>10</v>
      </c>
      <c r="E29" s="72">
        <v>10</v>
      </c>
      <c r="F29" s="72">
        <v>10</v>
      </c>
      <c r="G29" s="72">
        <v>10</v>
      </c>
      <c r="H29" s="72">
        <v>10</v>
      </c>
      <c r="I29" s="72">
        <v>10</v>
      </c>
      <c r="J29" s="72">
        <v>10</v>
      </c>
      <c r="K29" s="74">
        <f t="shared" si="0"/>
        <v>10</v>
      </c>
    </row>
    <row r="30" spans="1:11" s="43" customFormat="1" ht="38.25" customHeight="1" x14ac:dyDescent="0.25">
      <c r="A30" s="72">
        <v>19</v>
      </c>
      <c r="B30" s="72" t="s">
        <v>42</v>
      </c>
      <c r="C30" s="73" t="s">
        <v>43</v>
      </c>
      <c r="D30" s="72">
        <v>10</v>
      </c>
      <c r="E30" s="72">
        <v>10</v>
      </c>
      <c r="F30" s="72">
        <v>10</v>
      </c>
      <c r="G30" s="72">
        <v>10</v>
      </c>
      <c r="H30" s="72">
        <v>10</v>
      </c>
      <c r="I30" s="72">
        <v>10</v>
      </c>
      <c r="J30" s="72">
        <v>10</v>
      </c>
      <c r="K30" s="74">
        <f t="shared" si="0"/>
        <v>10</v>
      </c>
    </row>
    <row r="31" spans="1:11" s="43" customFormat="1" ht="38.25" customHeight="1" x14ac:dyDescent="0.25">
      <c r="A31" s="72">
        <v>20</v>
      </c>
      <c r="B31" s="72" t="s">
        <v>44</v>
      </c>
      <c r="C31" s="73" t="s">
        <v>45</v>
      </c>
      <c r="D31" s="72">
        <v>10</v>
      </c>
      <c r="E31" s="72">
        <v>10</v>
      </c>
      <c r="F31" s="72">
        <v>9</v>
      </c>
      <c r="G31" s="72">
        <v>10</v>
      </c>
      <c r="H31" s="72">
        <v>9</v>
      </c>
      <c r="I31" s="72">
        <v>10</v>
      </c>
      <c r="J31" s="72">
        <v>10</v>
      </c>
      <c r="K31" s="74">
        <f t="shared" si="0"/>
        <v>9.7142857142857135</v>
      </c>
    </row>
    <row r="32" spans="1:11" s="43" customFormat="1" ht="38.25" customHeight="1" x14ac:dyDescent="0.25">
      <c r="A32" s="72">
        <v>21</v>
      </c>
      <c r="B32" s="72" t="s">
        <v>46</v>
      </c>
      <c r="C32" s="76" t="s">
        <v>47</v>
      </c>
      <c r="D32" s="72">
        <v>10</v>
      </c>
      <c r="E32" s="72">
        <v>10</v>
      </c>
      <c r="F32" s="72">
        <v>10</v>
      </c>
      <c r="G32" s="72">
        <v>10</v>
      </c>
      <c r="H32" s="72">
        <v>10</v>
      </c>
      <c r="I32" s="72">
        <v>10</v>
      </c>
      <c r="J32" s="72">
        <v>10</v>
      </c>
      <c r="K32" s="74">
        <f t="shared" si="0"/>
        <v>10</v>
      </c>
    </row>
    <row r="33" spans="1:11" s="43" customFormat="1" ht="38.25" customHeight="1" x14ac:dyDescent="0.25">
      <c r="A33" s="72">
        <v>22</v>
      </c>
      <c r="B33" s="72" t="s">
        <v>48</v>
      </c>
      <c r="C33" s="76" t="s">
        <v>49</v>
      </c>
      <c r="D33" s="72">
        <v>10</v>
      </c>
      <c r="E33" s="72">
        <v>10</v>
      </c>
      <c r="F33" s="72">
        <v>10</v>
      </c>
      <c r="G33" s="72">
        <v>10</v>
      </c>
      <c r="H33" s="72">
        <v>10</v>
      </c>
      <c r="I33" s="72">
        <v>10</v>
      </c>
      <c r="J33" s="72">
        <v>10</v>
      </c>
      <c r="K33" s="74">
        <f t="shared" si="0"/>
        <v>10</v>
      </c>
    </row>
    <row r="34" spans="1:11" s="43" customFormat="1" ht="38.25" customHeight="1" x14ac:dyDescent="0.25">
      <c r="A34" s="72">
        <v>23</v>
      </c>
      <c r="B34" s="72" t="s">
        <v>50</v>
      </c>
      <c r="C34" s="73" t="s">
        <v>51</v>
      </c>
      <c r="D34" s="72">
        <v>10</v>
      </c>
      <c r="E34" s="72">
        <v>10</v>
      </c>
      <c r="F34" s="72">
        <v>10</v>
      </c>
      <c r="G34" s="72">
        <v>10</v>
      </c>
      <c r="H34" s="72">
        <v>10</v>
      </c>
      <c r="I34" s="72">
        <v>10</v>
      </c>
      <c r="J34" s="72">
        <v>10</v>
      </c>
      <c r="K34" s="74">
        <f t="shared" si="0"/>
        <v>10</v>
      </c>
    </row>
    <row r="35" spans="1:11" s="43" customFormat="1" ht="38.25" customHeight="1" x14ac:dyDescent="0.25">
      <c r="A35" s="72">
        <v>24</v>
      </c>
      <c r="B35" s="72" t="s">
        <v>52</v>
      </c>
      <c r="C35" s="73" t="s">
        <v>53</v>
      </c>
      <c r="D35" s="72">
        <v>10</v>
      </c>
      <c r="E35" s="72">
        <v>10</v>
      </c>
      <c r="F35" s="72">
        <v>10</v>
      </c>
      <c r="G35" s="72">
        <v>10</v>
      </c>
      <c r="H35" s="72">
        <v>10</v>
      </c>
      <c r="I35" s="72">
        <v>10</v>
      </c>
      <c r="J35" s="72">
        <v>10</v>
      </c>
      <c r="K35" s="74">
        <f t="shared" si="0"/>
        <v>10</v>
      </c>
    </row>
    <row r="36" spans="1:11" s="43" customFormat="1" ht="38.25" customHeight="1" x14ac:dyDescent="0.25">
      <c r="A36" s="72">
        <v>25</v>
      </c>
      <c r="B36" s="72" t="s">
        <v>54</v>
      </c>
      <c r="C36" s="73" t="s">
        <v>55</v>
      </c>
      <c r="D36" s="72">
        <v>10</v>
      </c>
      <c r="E36" s="72">
        <v>10</v>
      </c>
      <c r="F36" s="72">
        <v>10</v>
      </c>
      <c r="G36" s="72">
        <v>10</v>
      </c>
      <c r="H36" s="72">
        <v>10</v>
      </c>
      <c r="I36" s="72">
        <v>10</v>
      </c>
      <c r="J36" s="72">
        <v>10</v>
      </c>
      <c r="K36" s="74">
        <f t="shared" si="0"/>
        <v>10</v>
      </c>
    </row>
    <row r="37" spans="1:11" s="43" customFormat="1" ht="38.25" customHeight="1" x14ac:dyDescent="0.25">
      <c r="A37" s="72">
        <v>26</v>
      </c>
      <c r="B37" s="72" t="s">
        <v>56</v>
      </c>
      <c r="C37" s="73" t="s">
        <v>57</v>
      </c>
      <c r="D37" s="72">
        <v>10</v>
      </c>
      <c r="E37" s="72">
        <v>10</v>
      </c>
      <c r="F37" s="72">
        <v>10</v>
      </c>
      <c r="G37" s="72">
        <v>10</v>
      </c>
      <c r="H37" s="72">
        <v>10</v>
      </c>
      <c r="I37" s="72">
        <v>10</v>
      </c>
      <c r="J37" s="72">
        <v>10</v>
      </c>
      <c r="K37" s="74">
        <f t="shared" si="0"/>
        <v>10</v>
      </c>
    </row>
    <row r="38" spans="1:11" s="43" customFormat="1" ht="33" customHeight="1" x14ac:dyDescent="0.25">
      <c r="A38" s="67"/>
      <c r="B38" s="67"/>
      <c r="C38" s="68"/>
      <c r="D38" s="67"/>
      <c r="E38" s="67"/>
      <c r="F38" s="67"/>
      <c r="G38" s="67"/>
      <c r="H38" s="67"/>
      <c r="I38" s="67"/>
      <c r="J38" s="67"/>
      <c r="K38" s="69"/>
    </row>
    <row r="40" spans="1:11" ht="15.75" x14ac:dyDescent="0.25">
      <c r="A40" s="220" t="s">
        <v>208</v>
      </c>
      <c r="B40" s="220"/>
      <c r="C40" s="220"/>
      <c r="D40" s="220"/>
      <c r="E40" s="220"/>
      <c r="F40" s="220"/>
      <c r="G40" s="220"/>
      <c r="H40" s="220"/>
      <c r="I40" s="220"/>
      <c r="J40" s="220"/>
      <c r="K40" s="220"/>
    </row>
    <row r="41" spans="1:11" x14ac:dyDescent="0.25">
      <c r="A41" s="219" t="s">
        <v>190</v>
      </c>
      <c r="B41" s="219"/>
      <c r="C41" s="219"/>
      <c r="D41" s="219"/>
      <c r="E41" s="219"/>
      <c r="H41" s="1"/>
      <c r="I41" s="1"/>
      <c r="J41" s="1"/>
      <c r="K41" s="1"/>
    </row>
  </sheetData>
  <mergeCells count="11">
    <mergeCell ref="A41:E41"/>
    <mergeCell ref="A40:K40"/>
    <mergeCell ref="A1:K1"/>
    <mergeCell ref="A2:K2"/>
    <mergeCell ref="A4:K4"/>
    <mergeCell ref="A5:K5"/>
    <mergeCell ref="A6:K6"/>
    <mergeCell ref="A8:K8"/>
    <mergeCell ref="A3:K3"/>
    <mergeCell ref="D11:J11"/>
    <mergeCell ref="K10:K11"/>
  </mergeCells>
  <printOptions horizontalCentered="1"/>
  <pageMargins left="0.25" right="0.25" top="0" bottom="0" header="0.05" footer="0.05"/>
  <pageSetup paperSize="9" scale="65" orientation="landscape" r:id="rId1"/>
  <rowBreaks count="1" manualBreakCount="1">
    <brk id="28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8"/>
  <sheetViews>
    <sheetView view="pageBreakPreview" topLeftCell="A12" zoomScaleNormal="100" zoomScaleSheetLayoutView="100" workbookViewId="0">
      <selection activeCell="O23" sqref="O23"/>
    </sheetView>
  </sheetViews>
  <sheetFormatPr defaultRowHeight="15" x14ac:dyDescent="0.25"/>
  <cols>
    <col min="1" max="1" width="8.140625" bestFit="1" customWidth="1"/>
    <col min="2" max="2" width="16.42578125" customWidth="1"/>
    <col min="4" max="4" width="10.85546875" bestFit="1" customWidth="1"/>
    <col min="5" max="5" width="11.140625" bestFit="1" customWidth="1"/>
    <col min="7" max="7" width="15.5703125" bestFit="1" customWidth="1"/>
  </cols>
  <sheetData>
    <row r="1" spans="1:13" s="34" customFormat="1" ht="21.75" customHeight="1" x14ac:dyDescent="0.35">
      <c r="A1" s="202" t="s">
        <v>135</v>
      </c>
      <c r="B1" s="202"/>
      <c r="C1" s="202"/>
      <c r="D1" s="202"/>
      <c r="E1" s="202"/>
      <c r="F1" s="202"/>
      <c r="G1" s="202"/>
      <c r="H1" s="33"/>
      <c r="I1" s="33"/>
      <c r="J1" s="33"/>
      <c r="K1" s="33"/>
      <c r="L1" s="33"/>
      <c r="M1" s="33"/>
    </row>
    <row r="2" spans="1:13" s="34" customFormat="1" ht="18" customHeight="1" x14ac:dyDescent="0.35">
      <c r="A2" s="203" t="s">
        <v>136</v>
      </c>
      <c r="B2" s="203"/>
      <c r="C2" s="203"/>
      <c r="D2" s="203"/>
      <c r="E2" s="203"/>
      <c r="F2" s="203"/>
      <c r="G2" s="203"/>
      <c r="H2" s="33"/>
      <c r="I2" s="33"/>
      <c r="J2" s="33"/>
      <c r="K2" s="33"/>
      <c r="L2" s="33"/>
      <c r="M2" s="33"/>
    </row>
    <row r="3" spans="1:13" s="34" customFormat="1" ht="18" customHeight="1" x14ac:dyDescent="0.35">
      <c r="A3" s="202" t="s">
        <v>183</v>
      </c>
      <c r="B3" s="202"/>
      <c r="C3" s="202"/>
      <c r="D3" s="202"/>
      <c r="E3" s="202"/>
      <c r="F3" s="202"/>
      <c r="G3" s="202"/>
      <c r="H3" s="33"/>
      <c r="I3" s="33"/>
      <c r="J3" s="33"/>
      <c r="K3" s="33"/>
      <c r="L3" s="33"/>
      <c r="M3" s="33"/>
    </row>
    <row r="4" spans="1:13" ht="12.75" customHeight="1" x14ac:dyDescent="0.25">
      <c r="A4" s="208"/>
      <c r="B4" s="208"/>
      <c r="C4" s="208"/>
      <c r="D4" s="208"/>
      <c r="E4" s="208"/>
      <c r="F4" s="208"/>
      <c r="G4" s="208"/>
      <c r="H4" s="208"/>
      <c r="I4" s="208"/>
      <c r="J4" s="208"/>
      <c r="K4" s="208"/>
      <c r="L4" s="208"/>
      <c r="M4" s="208"/>
    </row>
    <row r="5" spans="1:13" s="36" customFormat="1" ht="17.25" customHeight="1" x14ac:dyDescent="0.25">
      <c r="A5" s="228" t="s">
        <v>175</v>
      </c>
      <c r="B5" s="229"/>
      <c r="C5" s="229"/>
      <c r="D5" s="229"/>
      <c r="E5" s="229"/>
      <c r="F5" s="229"/>
      <c r="G5" s="230"/>
      <c r="H5" s="35"/>
      <c r="I5" s="35"/>
      <c r="J5" s="35"/>
      <c r="K5" s="35"/>
      <c r="L5" s="35"/>
      <c r="M5" s="35"/>
    </row>
    <row r="6" spans="1:13" s="36" customFormat="1" ht="26.25" customHeight="1" x14ac:dyDescent="0.25">
      <c r="A6" s="238" t="s">
        <v>191</v>
      </c>
      <c r="B6" s="238"/>
      <c r="C6" s="238"/>
      <c r="D6" s="238"/>
      <c r="E6" s="238"/>
      <c r="F6" s="238"/>
      <c r="G6" s="238"/>
      <c r="H6" s="35"/>
      <c r="I6" s="35"/>
      <c r="J6" s="35"/>
      <c r="K6" s="35"/>
      <c r="L6" s="35"/>
      <c r="M6" s="35"/>
    </row>
    <row r="7" spans="1:13" s="36" customFormat="1" ht="17.25" customHeight="1" x14ac:dyDescent="0.25">
      <c r="A7" s="228" t="s">
        <v>176</v>
      </c>
      <c r="B7" s="229"/>
      <c r="C7" s="229"/>
      <c r="D7" s="229"/>
      <c r="E7" s="229"/>
      <c r="F7" s="229"/>
      <c r="G7" s="230"/>
      <c r="H7" s="35"/>
      <c r="I7" s="35"/>
      <c r="J7" s="35"/>
      <c r="K7" s="35"/>
      <c r="L7" s="35"/>
      <c r="M7" s="35"/>
    </row>
    <row r="8" spans="1:13" hidden="1" x14ac:dyDescent="0.25"/>
    <row r="11" spans="1:13" ht="27.75" customHeight="1" x14ac:dyDescent="0.25">
      <c r="A11" s="11" t="s">
        <v>60</v>
      </c>
      <c r="B11" s="44" t="s">
        <v>199</v>
      </c>
      <c r="D11" s="40" t="s">
        <v>61</v>
      </c>
      <c r="E11" s="237" t="s">
        <v>62</v>
      </c>
      <c r="F11" s="237"/>
      <c r="G11" s="237"/>
    </row>
    <row r="12" spans="1:13" ht="20.25" customHeight="1" x14ac:dyDescent="0.25">
      <c r="A12" s="12" t="s">
        <v>63</v>
      </c>
      <c r="B12" s="21" t="s">
        <v>198</v>
      </c>
      <c r="D12" s="13" t="s">
        <v>64</v>
      </c>
      <c r="E12" s="236" t="s">
        <v>180</v>
      </c>
      <c r="F12" s="236"/>
      <c r="G12" s="236"/>
    </row>
    <row r="13" spans="1:13" ht="25.5" customHeight="1" x14ac:dyDescent="0.25">
      <c r="A13" s="12" t="s">
        <v>65</v>
      </c>
      <c r="B13" s="16" t="s">
        <v>200</v>
      </c>
      <c r="D13" s="13" t="s">
        <v>66</v>
      </c>
      <c r="E13" s="236" t="s">
        <v>181</v>
      </c>
      <c r="F13" s="236"/>
      <c r="G13" s="236"/>
    </row>
    <row r="14" spans="1:13" ht="20.25" customHeight="1" x14ac:dyDescent="0.25">
      <c r="A14" s="12" t="s">
        <v>67</v>
      </c>
      <c r="B14" s="45">
        <v>0.12574074074074074</v>
      </c>
      <c r="D14" s="13" t="s">
        <v>68</v>
      </c>
      <c r="E14" s="236" t="s">
        <v>182</v>
      </c>
      <c r="F14" s="236"/>
      <c r="G14" s="236"/>
    </row>
    <row r="15" spans="1:13" ht="20.25" customHeight="1" x14ac:dyDescent="0.25">
      <c r="A15" s="12" t="s">
        <v>69</v>
      </c>
      <c r="B15" s="21">
        <v>6</v>
      </c>
      <c r="D15" s="14"/>
      <c r="E15" s="14"/>
      <c r="F15" s="14"/>
      <c r="G15" s="14"/>
    </row>
    <row r="16" spans="1:13" ht="20.25" customHeight="1" x14ac:dyDescent="0.25">
      <c r="A16" s="12" t="s">
        <v>70</v>
      </c>
      <c r="B16" s="21" t="s">
        <v>71</v>
      </c>
      <c r="D16" s="233" t="s">
        <v>184</v>
      </c>
      <c r="E16" s="234"/>
      <c r="F16" s="235"/>
      <c r="G16" s="14"/>
    </row>
    <row r="17" spans="1:10" ht="15.75" x14ac:dyDescent="0.25">
      <c r="D17" s="59" t="s">
        <v>83</v>
      </c>
      <c r="E17" s="231">
        <v>0.4</v>
      </c>
      <c r="F17" s="231"/>
    </row>
    <row r="18" spans="1:10" ht="15.75" x14ac:dyDescent="0.25">
      <c r="D18" s="59" t="s">
        <v>84</v>
      </c>
      <c r="E18" s="232" t="s">
        <v>185</v>
      </c>
      <c r="F18" s="232"/>
    </row>
    <row r="19" spans="1:10" ht="10.5" customHeight="1" x14ac:dyDescent="0.25"/>
    <row r="20" spans="1:10" ht="22.5" customHeight="1" x14ac:dyDescent="0.25">
      <c r="A20" s="39" t="s">
        <v>72</v>
      </c>
      <c r="B20" s="39" t="s">
        <v>73</v>
      </c>
      <c r="C20" s="39" t="s">
        <v>74</v>
      </c>
      <c r="D20" s="39" t="s">
        <v>75</v>
      </c>
      <c r="E20" s="39" t="s">
        <v>76</v>
      </c>
      <c r="F20" s="39" t="s">
        <v>77</v>
      </c>
      <c r="G20" s="39" t="s">
        <v>78</v>
      </c>
    </row>
    <row r="21" spans="1:10" ht="22.5" customHeight="1" x14ac:dyDescent="0.25">
      <c r="A21" s="10" t="s">
        <v>79</v>
      </c>
      <c r="B21" s="15" t="s">
        <v>209</v>
      </c>
      <c r="E21" s="15" t="s">
        <v>215</v>
      </c>
      <c r="F21" s="15"/>
      <c r="G21" s="15" t="s">
        <v>80</v>
      </c>
    </row>
    <row r="22" spans="1:10" ht="22.5" customHeight="1" x14ac:dyDescent="0.25">
      <c r="A22" s="10" t="s">
        <v>81</v>
      </c>
      <c r="B22" s="15"/>
      <c r="C22" s="15" t="s">
        <v>209</v>
      </c>
      <c r="D22" s="15"/>
      <c r="E22" s="15" t="s">
        <v>216</v>
      </c>
      <c r="F22" s="66" t="s">
        <v>215</v>
      </c>
      <c r="G22" s="15" t="s">
        <v>80</v>
      </c>
    </row>
    <row r="23" spans="1:10" ht="22.5" customHeight="1" x14ac:dyDescent="0.25">
      <c r="A23" s="10" t="s">
        <v>82</v>
      </c>
      <c r="B23" s="66"/>
      <c r="C23" s="66"/>
      <c r="D23" s="15" t="s">
        <v>209</v>
      </c>
      <c r="E23" s="66"/>
      <c r="F23" s="66" t="s">
        <v>215</v>
      </c>
      <c r="G23" s="66" t="s">
        <v>80</v>
      </c>
    </row>
    <row r="24" spans="1:10" ht="22.5" customHeight="1" x14ac:dyDescent="0.25">
      <c r="A24" s="10" t="s">
        <v>214</v>
      </c>
      <c r="B24" s="15"/>
      <c r="C24" s="15"/>
      <c r="D24" s="15"/>
      <c r="E24" s="3"/>
      <c r="F24" s="66" t="s">
        <v>215</v>
      </c>
      <c r="G24" s="15" t="s">
        <v>80</v>
      </c>
    </row>
    <row r="25" spans="1:10" ht="25.5" customHeight="1" x14ac:dyDescent="0.25"/>
    <row r="26" spans="1:10" ht="15.75" x14ac:dyDescent="0.25">
      <c r="A26" s="220" t="s">
        <v>186</v>
      </c>
      <c r="B26" s="220"/>
      <c r="C26" s="220"/>
      <c r="D26" s="220"/>
      <c r="E26" s="220"/>
      <c r="F26" s="220"/>
      <c r="G26" s="220"/>
      <c r="H26" s="220"/>
      <c r="I26" s="37"/>
      <c r="J26" s="37"/>
    </row>
    <row r="27" spans="1:10" x14ac:dyDescent="0.25">
      <c r="A27" s="211" t="s">
        <v>137</v>
      </c>
      <c r="B27" s="211"/>
      <c r="C27" s="211"/>
    </row>
    <row r="28" spans="1:10" x14ac:dyDescent="0.25">
      <c r="A28" s="50"/>
      <c r="B28" s="50"/>
      <c r="C28" s="50"/>
    </row>
  </sheetData>
  <mergeCells count="16">
    <mergeCell ref="A3:G3"/>
    <mergeCell ref="A1:G1"/>
    <mergeCell ref="A2:G2"/>
    <mergeCell ref="A5:G5"/>
    <mergeCell ref="A6:G6"/>
    <mergeCell ref="A27:C27"/>
    <mergeCell ref="A7:G7"/>
    <mergeCell ref="A4:M4"/>
    <mergeCell ref="E17:F17"/>
    <mergeCell ref="E18:F18"/>
    <mergeCell ref="D16:F16"/>
    <mergeCell ref="E12:G12"/>
    <mergeCell ref="E13:G13"/>
    <mergeCell ref="E14:G14"/>
    <mergeCell ref="E11:G11"/>
    <mergeCell ref="A26:H26"/>
  </mergeCells>
  <printOptions horizontalCentered="1"/>
  <pageMargins left="0.7" right="0.7" top="0.75" bottom="0.75" header="0.3" footer="0.3"/>
  <pageSetup paperSize="9" scale="99" orientation="landscape" r:id="rId1"/>
  <colBreaks count="1" manualBreakCount="1">
    <brk id="9" max="1048575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49"/>
  <sheetViews>
    <sheetView topLeftCell="A6" zoomScaleNormal="100" workbookViewId="0">
      <selection activeCell="D12" sqref="D12:D13"/>
    </sheetView>
  </sheetViews>
  <sheetFormatPr defaultRowHeight="15" x14ac:dyDescent="0.25"/>
  <cols>
    <col min="1" max="1" width="8" bestFit="1" customWidth="1"/>
    <col min="2" max="2" width="15.85546875" customWidth="1"/>
    <col min="3" max="3" width="23" customWidth="1"/>
    <col min="4" max="4" width="10.85546875" bestFit="1" customWidth="1"/>
    <col min="5" max="6" width="7.140625" customWidth="1"/>
    <col min="7" max="7" width="8.5703125" customWidth="1"/>
    <col min="8" max="8" width="13" customWidth="1"/>
    <col min="9" max="9" width="10.140625" customWidth="1"/>
    <col min="10" max="14" width="9.42578125" customWidth="1"/>
  </cols>
  <sheetData>
    <row r="1" spans="1:14" s="34" customFormat="1" ht="21.75" customHeight="1" x14ac:dyDescent="0.35">
      <c r="A1" s="202" t="s">
        <v>135</v>
      </c>
      <c r="B1" s="202"/>
      <c r="C1" s="202"/>
      <c r="D1" s="202"/>
      <c r="E1" s="202"/>
      <c r="F1" s="202"/>
      <c r="G1" s="202"/>
      <c r="H1" s="202"/>
      <c r="I1" s="202"/>
      <c r="J1" s="202"/>
      <c r="K1" s="202"/>
      <c r="L1" s="202"/>
      <c r="M1" s="202"/>
      <c r="N1" s="202"/>
    </row>
    <row r="2" spans="1:14" s="34" customFormat="1" ht="18" customHeight="1" x14ac:dyDescent="0.35">
      <c r="A2" s="203" t="s">
        <v>136</v>
      </c>
      <c r="B2" s="203"/>
      <c r="C2" s="203"/>
      <c r="D2" s="203"/>
      <c r="E2" s="203"/>
      <c r="F2" s="203"/>
      <c r="G2" s="203"/>
      <c r="H2" s="203"/>
      <c r="I2" s="203"/>
      <c r="J2" s="203"/>
      <c r="K2" s="203"/>
      <c r="L2" s="203"/>
      <c r="M2" s="203"/>
      <c r="N2" s="203"/>
    </row>
    <row r="3" spans="1:14" ht="12.75" customHeight="1" x14ac:dyDescent="0.25">
      <c r="A3" s="208"/>
      <c r="B3" s="208"/>
      <c r="C3" s="208"/>
      <c r="D3" s="208"/>
      <c r="E3" s="208"/>
      <c r="F3" s="208"/>
      <c r="G3" s="208"/>
      <c r="H3" s="208"/>
      <c r="I3" s="208"/>
      <c r="J3" s="208"/>
      <c r="K3" s="208"/>
      <c r="L3" s="208"/>
      <c r="M3" s="208"/>
    </row>
    <row r="4" spans="1:14" s="36" customFormat="1" ht="17.25" customHeight="1" x14ac:dyDescent="0.25">
      <c r="A4" s="204" t="s">
        <v>140</v>
      </c>
      <c r="B4" s="205"/>
      <c r="C4" s="205"/>
      <c r="D4" s="205"/>
      <c r="E4" s="205"/>
      <c r="F4" s="205"/>
      <c r="G4" s="205"/>
      <c r="H4" s="205"/>
      <c r="I4" s="205"/>
      <c r="J4" s="205"/>
      <c r="K4" s="205"/>
      <c r="L4" s="205"/>
      <c r="M4" s="205"/>
      <c r="N4" s="205"/>
    </row>
    <row r="5" spans="1:14" s="36" customFormat="1" ht="26.25" customHeight="1" x14ac:dyDescent="0.25">
      <c r="A5" s="206" t="s">
        <v>226</v>
      </c>
      <c r="B5" s="207"/>
      <c r="C5" s="207"/>
      <c r="D5" s="207"/>
      <c r="E5" s="207"/>
      <c r="F5" s="207"/>
      <c r="G5" s="207"/>
      <c r="H5" s="207"/>
      <c r="I5" s="207"/>
      <c r="J5" s="207"/>
      <c r="K5" s="207"/>
      <c r="L5" s="207"/>
      <c r="M5" s="207"/>
      <c r="N5" s="207"/>
    </row>
    <row r="6" spans="1:14" s="36" customFormat="1" ht="17.25" customHeight="1" x14ac:dyDescent="0.25">
      <c r="A6" s="204" t="s">
        <v>139</v>
      </c>
      <c r="B6" s="205"/>
      <c r="C6" s="205"/>
      <c r="D6" s="205"/>
      <c r="E6" s="205"/>
      <c r="F6" s="205"/>
      <c r="G6" s="205"/>
      <c r="H6" s="205"/>
      <c r="I6" s="205"/>
      <c r="J6" s="205"/>
      <c r="K6" s="205"/>
      <c r="L6" s="205"/>
      <c r="M6" s="205"/>
      <c r="N6" s="205"/>
    </row>
    <row r="8" spans="1:14" ht="28.5" customHeight="1" x14ac:dyDescent="0.25">
      <c r="A8" s="246" t="s">
        <v>83</v>
      </c>
      <c r="B8" s="247"/>
      <c r="C8" s="247"/>
      <c r="D8" s="247"/>
      <c r="E8" s="247"/>
      <c r="F8" s="247"/>
      <c r="G8" s="247"/>
      <c r="H8" s="247"/>
      <c r="I8" s="247"/>
      <c r="J8" s="247"/>
      <c r="K8" s="247"/>
      <c r="L8" s="248"/>
      <c r="M8" s="246" t="s">
        <v>84</v>
      </c>
      <c r="N8" s="248"/>
    </row>
    <row r="9" spans="1:14" s="25" customFormat="1" ht="27.75" customHeight="1" x14ac:dyDescent="0.25">
      <c r="A9" s="41" t="s">
        <v>124</v>
      </c>
      <c r="B9" s="41" t="s">
        <v>123</v>
      </c>
      <c r="C9" s="26" t="s">
        <v>85</v>
      </c>
      <c r="D9" s="249" t="s">
        <v>203</v>
      </c>
      <c r="E9" s="249"/>
      <c r="F9" s="249"/>
      <c r="G9" s="249"/>
      <c r="H9" s="249"/>
      <c r="I9" s="249"/>
      <c r="J9" s="242" t="s">
        <v>127</v>
      </c>
      <c r="K9" s="242" t="s">
        <v>128</v>
      </c>
      <c r="L9" s="242" t="s">
        <v>229</v>
      </c>
      <c r="M9" s="242" t="s">
        <v>130</v>
      </c>
      <c r="N9" s="242" t="s">
        <v>224</v>
      </c>
    </row>
    <row r="10" spans="1:14" s="25" customFormat="1" ht="56.25" customHeight="1" x14ac:dyDescent="0.25">
      <c r="A10" s="27"/>
      <c r="B10" s="27"/>
      <c r="C10" s="28" t="s">
        <v>86</v>
      </c>
      <c r="D10" s="250" t="s">
        <v>210</v>
      </c>
      <c r="E10" s="251"/>
      <c r="F10" s="251"/>
      <c r="G10" s="251"/>
      <c r="H10" s="251"/>
      <c r="I10" s="252"/>
      <c r="J10" s="243"/>
      <c r="K10" s="243"/>
      <c r="L10" s="243"/>
      <c r="M10" s="243"/>
      <c r="N10" s="243"/>
    </row>
    <row r="11" spans="1:14" ht="21.75" customHeight="1" x14ac:dyDescent="0.25">
      <c r="A11" s="17"/>
      <c r="B11" s="17"/>
      <c r="C11" s="29" t="s">
        <v>87</v>
      </c>
      <c r="D11" s="8" t="s">
        <v>73</v>
      </c>
      <c r="E11" s="8" t="s">
        <v>74</v>
      </c>
      <c r="F11" s="8" t="s">
        <v>75</v>
      </c>
      <c r="G11" s="8" t="s">
        <v>76</v>
      </c>
      <c r="H11" s="8" t="s">
        <v>77</v>
      </c>
      <c r="I11" s="8" t="s">
        <v>88</v>
      </c>
      <c r="J11" s="243"/>
      <c r="K11" s="243"/>
      <c r="L11" s="243"/>
      <c r="M11" s="243"/>
      <c r="N11" s="243"/>
    </row>
    <row r="12" spans="1:14" ht="25.5" x14ac:dyDescent="0.25">
      <c r="A12" s="17"/>
      <c r="B12" s="17"/>
      <c r="C12" s="29" t="s">
        <v>89</v>
      </c>
      <c r="D12" s="10" t="s">
        <v>209</v>
      </c>
      <c r="E12" s="24" t="s">
        <v>125</v>
      </c>
      <c r="F12" s="24" t="s">
        <v>125</v>
      </c>
      <c r="G12" s="18" t="s">
        <v>215</v>
      </c>
      <c r="H12" s="24" t="s">
        <v>125</v>
      </c>
      <c r="I12" s="18" t="s">
        <v>80</v>
      </c>
      <c r="J12" s="243"/>
      <c r="K12" s="243"/>
      <c r="L12" s="243"/>
      <c r="M12" s="243"/>
      <c r="N12" s="243"/>
    </row>
    <row r="13" spans="1:14" ht="21.75" customHeight="1" x14ac:dyDescent="0.25">
      <c r="A13" s="17"/>
      <c r="B13" s="17"/>
      <c r="C13" s="27" t="s">
        <v>90</v>
      </c>
      <c r="D13" s="8">
        <v>30</v>
      </c>
      <c r="E13" s="24" t="s">
        <v>125</v>
      </c>
      <c r="F13" s="24" t="s">
        <v>125</v>
      </c>
      <c r="G13" s="8">
        <v>20</v>
      </c>
      <c r="H13" s="24" t="s">
        <v>125</v>
      </c>
      <c r="I13" s="8">
        <v>2.5</v>
      </c>
      <c r="J13" s="244"/>
      <c r="K13" s="244"/>
      <c r="L13" s="244"/>
      <c r="M13" s="244"/>
      <c r="N13" s="244"/>
    </row>
    <row r="14" spans="1:14" ht="24" customHeight="1" x14ac:dyDescent="0.25">
      <c r="A14" s="15">
        <v>1</v>
      </c>
      <c r="B14" s="19" t="s">
        <v>6</v>
      </c>
      <c r="C14" s="13" t="s">
        <v>91</v>
      </c>
      <c r="D14" s="58">
        <v>11</v>
      </c>
      <c r="E14" s="24" t="s">
        <v>125</v>
      </c>
      <c r="F14" s="24" t="s">
        <v>125</v>
      </c>
      <c r="G14" s="80">
        <v>13</v>
      </c>
      <c r="H14" s="24" t="s">
        <v>125</v>
      </c>
      <c r="I14" s="6">
        <v>2.5</v>
      </c>
      <c r="J14" s="5">
        <v>52.5</v>
      </c>
      <c r="K14" s="5">
        <f>SUM(D14:I14)</f>
        <v>26.5</v>
      </c>
      <c r="L14" s="6" t="s">
        <v>217</v>
      </c>
      <c r="M14" s="78"/>
      <c r="N14" s="6"/>
    </row>
    <row r="15" spans="1:14" ht="24" customHeight="1" x14ac:dyDescent="0.25">
      <c r="A15" s="15">
        <v>2</v>
      </c>
      <c r="B15" s="19" t="s">
        <v>8</v>
      </c>
      <c r="C15" s="13" t="s">
        <v>92</v>
      </c>
      <c r="D15" s="58">
        <v>19</v>
      </c>
      <c r="E15" s="24" t="s">
        <v>125</v>
      </c>
      <c r="F15" s="24" t="s">
        <v>125</v>
      </c>
      <c r="G15" s="49">
        <v>13.57</v>
      </c>
      <c r="H15" s="24" t="s">
        <v>125</v>
      </c>
      <c r="I15" s="6">
        <v>2.5</v>
      </c>
      <c r="J15" s="5">
        <v>52.5</v>
      </c>
      <c r="K15" s="5">
        <f t="shared" ref="K15:K39" si="0">SUM(D15:I15)</f>
        <v>35.07</v>
      </c>
      <c r="L15" s="6" t="s">
        <v>217</v>
      </c>
      <c r="M15" s="78"/>
      <c r="N15" s="6"/>
    </row>
    <row r="16" spans="1:14" ht="24" customHeight="1" x14ac:dyDescent="0.25">
      <c r="A16" s="15">
        <v>3</v>
      </c>
      <c r="B16" s="19" t="s">
        <v>10</v>
      </c>
      <c r="C16" s="13" t="s">
        <v>93</v>
      </c>
      <c r="D16" s="58">
        <v>17</v>
      </c>
      <c r="E16" s="24" t="s">
        <v>125</v>
      </c>
      <c r="F16" s="24" t="s">
        <v>125</v>
      </c>
      <c r="G16" s="49">
        <v>12</v>
      </c>
      <c r="H16" s="24" t="s">
        <v>125</v>
      </c>
      <c r="I16" s="6">
        <v>2.5</v>
      </c>
      <c r="J16" s="5">
        <v>52.5</v>
      </c>
      <c r="K16" s="5">
        <f t="shared" si="0"/>
        <v>31.5</v>
      </c>
      <c r="L16" s="6" t="s">
        <v>217</v>
      </c>
      <c r="M16" s="78"/>
      <c r="N16" s="6"/>
    </row>
    <row r="17" spans="1:14" ht="24" customHeight="1" x14ac:dyDescent="0.25">
      <c r="A17" s="15">
        <v>4</v>
      </c>
      <c r="B17" s="19" t="s">
        <v>12</v>
      </c>
      <c r="C17" s="13" t="s">
        <v>94</v>
      </c>
      <c r="D17" s="58">
        <v>11</v>
      </c>
      <c r="E17" s="24" t="s">
        <v>125</v>
      </c>
      <c r="F17" s="24" t="s">
        <v>125</v>
      </c>
      <c r="G17" s="49">
        <v>11.8</v>
      </c>
      <c r="H17" s="24" t="s">
        <v>125</v>
      </c>
      <c r="I17" s="6">
        <v>2.5</v>
      </c>
      <c r="J17" s="5">
        <v>52.5</v>
      </c>
      <c r="K17" s="5">
        <f t="shared" si="0"/>
        <v>25.3</v>
      </c>
      <c r="L17" s="6" t="s">
        <v>217</v>
      </c>
      <c r="M17" s="78"/>
      <c r="N17" s="6"/>
    </row>
    <row r="18" spans="1:14" ht="24" customHeight="1" x14ac:dyDescent="0.25">
      <c r="A18" s="15">
        <v>5</v>
      </c>
      <c r="B18" s="19" t="s">
        <v>14</v>
      </c>
      <c r="C18" s="13" t="s">
        <v>95</v>
      </c>
      <c r="D18" s="58">
        <v>16</v>
      </c>
      <c r="E18" s="24" t="s">
        <v>125</v>
      </c>
      <c r="F18" s="24" t="s">
        <v>125</v>
      </c>
      <c r="G18" s="49">
        <v>14</v>
      </c>
      <c r="H18" s="24" t="s">
        <v>125</v>
      </c>
      <c r="I18" s="6">
        <v>2.5</v>
      </c>
      <c r="J18" s="5">
        <v>52.5</v>
      </c>
      <c r="K18" s="5">
        <f t="shared" si="0"/>
        <v>32.5</v>
      </c>
      <c r="L18" s="6" t="s">
        <v>217</v>
      </c>
      <c r="M18" s="78"/>
      <c r="N18" s="6"/>
    </row>
    <row r="19" spans="1:14" ht="24" customHeight="1" x14ac:dyDescent="0.25">
      <c r="A19" s="15">
        <v>6</v>
      </c>
      <c r="B19" s="19" t="s">
        <v>16</v>
      </c>
      <c r="C19" s="13" t="s">
        <v>96</v>
      </c>
      <c r="D19" s="58">
        <v>17</v>
      </c>
      <c r="E19" s="24" t="s">
        <v>125</v>
      </c>
      <c r="F19" s="24" t="s">
        <v>125</v>
      </c>
      <c r="G19" s="49">
        <v>12</v>
      </c>
      <c r="H19" s="24" t="s">
        <v>125</v>
      </c>
      <c r="I19" s="6">
        <v>2.5</v>
      </c>
      <c r="J19" s="5">
        <v>52.5</v>
      </c>
      <c r="K19" s="5">
        <f t="shared" si="0"/>
        <v>31.5</v>
      </c>
      <c r="L19" s="6" t="s">
        <v>217</v>
      </c>
      <c r="M19" s="78"/>
      <c r="N19" s="6"/>
    </row>
    <row r="20" spans="1:14" ht="24" customHeight="1" x14ac:dyDescent="0.25">
      <c r="A20" s="15">
        <v>7</v>
      </c>
      <c r="B20" s="19" t="s">
        <v>18</v>
      </c>
      <c r="C20" s="13" t="s">
        <v>97</v>
      </c>
      <c r="D20" s="58">
        <v>9</v>
      </c>
      <c r="E20" s="24" t="s">
        <v>125</v>
      </c>
      <c r="F20" s="24" t="s">
        <v>125</v>
      </c>
      <c r="G20" s="49">
        <v>12</v>
      </c>
      <c r="H20" s="24" t="s">
        <v>125</v>
      </c>
      <c r="I20" s="6">
        <v>2.5</v>
      </c>
      <c r="J20" s="5">
        <v>52.5</v>
      </c>
      <c r="K20" s="5">
        <f t="shared" si="0"/>
        <v>23.5</v>
      </c>
      <c r="L20" s="6" t="s">
        <v>217</v>
      </c>
      <c r="M20" s="78"/>
      <c r="N20" s="6"/>
    </row>
    <row r="21" spans="1:14" ht="24" customHeight="1" x14ac:dyDescent="0.25">
      <c r="A21" s="15">
        <v>8</v>
      </c>
      <c r="B21" s="19" t="s">
        <v>20</v>
      </c>
      <c r="C21" s="13" t="s">
        <v>98</v>
      </c>
      <c r="D21" s="58">
        <v>22</v>
      </c>
      <c r="E21" s="24" t="s">
        <v>125</v>
      </c>
      <c r="F21" s="24" t="s">
        <v>125</v>
      </c>
      <c r="G21" s="49">
        <v>12</v>
      </c>
      <c r="H21" s="24" t="s">
        <v>125</v>
      </c>
      <c r="I21" s="6">
        <v>2.5</v>
      </c>
      <c r="J21" s="5">
        <v>52.5</v>
      </c>
      <c r="K21" s="5">
        <f t="shared" si="0"/>
        <v>36.5</v>
      </c>
      <c r="L21" s="6" t="s">
        <v>217</v>
      </c>
      <c r="M21" s="78"/>
      <c r="N21" s="6"/>
    </row>
    <row r="22" spans="1:14" ht="24" customHeight="1" x14ac:dyDescent="0.25">
      <c r="A22" s="15">
        <v>9</v>
      </c>
      <c r="B22" s="19" t="s">
        <v>22</v>
      </c>
      <c r="C22" s="13" t="s">
        <v>99</v>
      </c>
      <c r="D22" s="58">
        <v>15</v>
      </c>
      <c r="E22" s="24" t="s">
        <v>125</v>
      </c>
      <c r="F22" s="24" t="s">
        <v>125</v>
      </c>
      <c r="G22" s="49">
        <v>12</v>
      </c>
      <c r="H22" s="24" t="s">
        <v>125</v>
      </c>
      <c r="I22" s="6">
        <v>2.5</v>
      </c>
      <c r="J22" s="5">
        <v>52.5</v>
      </c>
      <c r="K22" s="5">
        <f t="shared" si="0"/>
        <v>29.5</v>
      </c>
      <c r="L22" s="6" t="s">
        <v>217</v>
      </c>
      <c r="M22" s="78"/>
      <c r="N22" s="6"/>
    </row>
    <row r="23" spans="1:14" ht="24" customHeight="1" x14ac:dyDescent="0.25">
      <c r="A23" s="15">
        <v>10</v>
      </c>
      <c r="B23" s="19" t="s">
        <v>24</v>
      </c>
      <c r="C23" s="20" t="s">
        <v>100</v>
      </c>
      <c r="D23" s="58">
        <v>17</v>
      </c>
      <c r="E23" s="24" t="s">
        <v>125</v>
      </c>
      <c r="F23" s="24" t="s">
        <v>125</v>
      </c>
      <c r="G23" s="49">
        <v>12</v>
      </c>
      <c r="H23" s="24" t="s">
        <v>125</v>
      </c>
      <c r="I23" s="6">
        <v>2.5</v>
      </c>
      <c r="J23" s="5">
        <v>52.5</v>
      </c>
      <c r="K23" s="5">
        <f t="shared" si="0"/>
        <v>31.5</v>
      </c>
      <c r="L23" s="6" t="s">
        <v>217</v>
      </c>
      <c r="M23" s="78"/>
      <c r="N23" s="6"/>
    </row>
    <row r="24" spans="1:14" ht="24" customHeight="1" x14ac:dyDescent="0.25">
      <c r="A24" s="15">
        <v>11</v>
      </c>
      <c r="B24" s="19" t="s">
        <v>26</v>
      </c>
      <c r="C24" s="13" t="s">
        <v>101</v>
      </c>
      <c r="D24" s="58">
        <v>13</v>
      </c>
      <c r="E24" s="24" t="s">
        <v>125</v>
      </c>
      <c r="F24" s="24" t="s">
        <v>125</v>
      </c>
      <c r="G24" s="49">
        <v>12</v>
      </c>
      <c r="H24" s="24" t="s">
        <v>125</v>
      </c>
      <c r="I24" s="6">
        <v>2.5</v>
      </c>
      <c r="J24" s="5">
        <v>52.5</v>
      </c>
      <c r="K24" s="5">
        <f t="shared" si="0"/>
        <v>27.5</v>
      </c>
      <c r="L24" s="6" t="s">
        <v>217</v>
      </c>
      <c r="M24" s="78"/>
      <c r="N24" s="6"/>
    </row>
    <row r="25" spans="1:14" ht="24" customHeight="1" x14ac:dyDescent="0.25">
      <c r="A25" s="63">
        <v>12</v>
      </c>
      <c r="B25" s="19" t="s">
        <v>28</v>
      </c>
      <c r="C25" s="13" t="s">
        <v>102</v>
      </c>
      <c r="D25" s="58">
        <v>14</v>
      </c>
      <c r="E25" s="24" t="s">
        <v>125</v>
      </c>
      <c r="F25" s="24" t="s">
        <v>125</v>
      </c>
      <c r="G25" s="49">
        <v>12</v>
      </c>
      <c r="H25" s="24" t="s">
        <v>125</v>
      </c>
      <c r="I25" s="6">
        <v>2.5</v>
      </c>
      <c r="J25" s="5">
        <v>52.5</v>
      </c>
      <c r="K25" s="5">
        <f t="shared" si="0"/>
        <v>28.5</v>
      </c>
      <c r="L25" s="6" t="s">
        <v>217</v>
      </c>
      <c r="M25" s="78"/>
      <c r="N25" s="6"/>
    </row>
    <row r="26" spans="1:14" ht="24" customHeight="1" x14ac:dyDescent="0.25">
      <c r="A26" s="63">
        <v>13</v>
      </c>
      <c r="B26" s="19" t="s">
        <v>30</v>
      </c>
      <c r="C26" s="13" t="s">
        <v>103</v>
      </c>
      <c r="D26" s="58">
        <v>18</v>
      </c>
      <c r="E26" s="24" t="s">
        <v>125</v>
      </c>
      <c r="F26" s="24" t="s">
        <v>125</v>
      </c>
      <c r="G26" s="49">
        <v>11.8</v>
      </c>
      <c r="H26" s="24" t="s">
        <v>125</v>
      </c>
      <c r="I26" s="6">
        <v>2.5</v>
      </c>
      <c r="J26" s="5">
        <v>52.5</v>
      </c>
      <c r="K26" s="5">
        <f t="shared" si="0"/>
        <v>32.299999999999997</v>
      </c>
      <c r="L26" s="6" t="s">
        <v>217</v>
      </c>
      <c r="M26" s="78"/>
      <c r="N26" s="6"/>
    </row>
    <row r="27" spans="1:14" ht="24" customHeight="1" x14ac:dyDescent="0.25">
      <c r="A27" s="63">
        <v>14</v>
      </c>
      <c r="B27" s="19" t="s">
        <v>32</v>
      </c>
      <c r="C27" s="13" t="s">
        <v>104</v>
      </c>
      <c r="D27" s="58">
        <v>21</v>
      </c>
      <c r="E27" s="24" t="s">
        <v>125</v>
      </c>
      <c r="F27" s="24" t="s">
        <v>125</v>
      </c>
      <c r="G27" s="49">
        <v>12</v>
      </c>
      <c r="H27" s="24" t="s">
        <v>125</v>
      </c>
      <c r="I27" s="6">
        <v>2.5</v>
      </c>
      <c r="J27" s="5">
        <v>52.5</v>
      </c>
      <c r="K27" s="5">
        <f t="shared" si="0"/>
        <v>35.5</v>
      </c>
      <c r="L27" s="6" t="s">
        <v>217</v>
      </c>
      <c r="M27" s="78"/>
      <c r="N27" s="6"/>
    </row>
    <row r="28" spans="1:14" ht="24" customHeight="1" x14ac:dyDescent="0.25">
      <c r="A28" s="63">
        <v>15</v>
      </c>
      <c r="B28" s="19" t="s">
        <v>34</v>
      </c>
      <c r="C28" s="13" t="s">
        <v>105</v>
      </c>
      <c r="D28" s="58">
        <v>11</v>
      </c>
      <c r="E28" s="24" t="s">
        <v>125</v>
      </c>
      <c r="F28" s="24" t="s">
        <v>125</v>
      </c>
      <c r="G28" s="49">
        <v>12</v>
      </c>
      <c r="H28" s="24" t="s">
        <v>125</v>
      </c>
      <c r="I28" s="6">
        <v>2.5</v>
      </c>
      <c r="J28" s="5">
        <v>52.5</v>
      </c>
      <c r="K28" s="5">
        <f t="shared" si="0"/>
        <v>25.5</v>
      </c>
      <c r="L28" s="6" t="s">
        <v>217</v>
      </c>
      <c r="M28" s="78"/>
      <c r="N28" s="6"/>
    </row>
    <row r="29" spans="1:14" ht="24" customHeight="1" x14ac:dyDescent="0.25">
      <c r="A29" s="63">
        <v>16</v>
      </c>
      <c r="B29" s="19" t="s">
        <v>36</v>
      </c>
      <c r="C29" s="13" t="s">
        <v>106</v>
      </c>
      <c r="D29" s="58">
        <v>16</v>
      </c>
      <c r="E29" s="24" t="s">
        <v>125</v>
      </c>
      <c r="F29" s="24" t="s">
        <v>125</v>
      </c>
      <c r="G29" s="49">
        <v>12</v>
      </c>
      <c r="H29" s="24" t="s">
        <v>125</v>
      </c>
      <c r="I29" s="6">
        <v>2.5</v>
      </c>
      <c r="J29" s="5">
        <v>52.5</v>
      </c>
      <c r="K29" s="5">
        <f t="shared" si="0"/>
        <v>30.5</v>
      </c>
      <c r="L29" s="6" t="s">
        <v>217</v>
      </c>
      <c r="M29" s="78"/>
      <c r="N29" s="6"/>
    </row>
    <row r="30" spans="1:14" ht="24" customHeight="1" x14ac:dyDescent="0.25">
      <c r="A30" s="63">
        <v>17</v>
      </c>
      <c r="B30" s="19" t="s">
        <v>38</v>
      </c>
      <c r="C30" s="13" t="s">
        <v>107</v>
      </c>
      <c r="D30" s="58">
        <v>23</v>
      </c>
      <c r="E30" s="24" t="s">
        <v>125</v>
      </c>
      <c r="F30" s="24" t="s">
        <v>125</v>
      </c>
      <c r="G30" s="49">
        <v>14</v>
      </c>
      <c r="H30" s="24" t="s">
        <v>125</v>
      </c>
      <c r="I30" s="6">
        <v>2.5</v>
      </c>
      <c r="J30" s="5">
        <v>52.5</v>
      </c>
      <c r="K30" s="5">
        <f t="shared" si="0"/>
        <v>39.5</v>
      </c>
      <c r="L30" s="6" t="s">
        <v>217</v>
      </c>
      <c r="M30" s="78"/>
      <c r="N30" s="6"/>
    </row>
    <row r="31" spans="1:14" ht="24" customHeight="1" x14ac:dyDescent="0.25">
      <c r="A31" s="63">
        <v>18</v>
      </c>
      <c r="B31" s="19" t="s">
        <v>40</v>
      </c>
      <c r="C31" s="13" t="s">
        <v>108</v>
      </c>
      <c r="D31" s="58">
        <v>14</v>
      </c>
      <c r="E31" s="24" t="s">
        <v>125</v>
      </c>
      <c r="F31" s="24" t="s">
        <v>125</v>
      </c>
      <c r="G31" s="49">
        <v>12</v>
      </c>
      <c r="H31" s="24" t="s">
        <v>125</v>
      </c>
      <c r="I31" s="6">
        <v>2.5</v>
      </c>
      <c r="J31" s="5">
        <v>52.5</v>
      </c>
      <c r="K31" s="5">
        <f t="shared" si="0"/>
        <v>28.5</v>
      </c>
      <c r="L31" s="6" t="s">
        <v>217</v>
      </c>
      <c r="M31" s="78"/>
      <c r="N31" s="6"/>
    </row>
    <row r="32" spans="1:14" ht="24" customHeight="1" x14ac:dyDescent="0.25">
      <c r="A32" s="63">
        <v>19</v>
      </c>
      <c r="B32" s="19" t="s">
        <v>42</v>
      </c>
      <c r="C32" s="13" t="s">
        <v>109</v>
      </c>
      <c r="D32" s="58">
        <v>15</v>
      </c>
      <c r="E32" s="24" t="s">
        <v>125</v>
      </c>
      <c r="F32" s="24" t="s">
        <v>125</v>
      </c>
      <c r="G32" s="49">
        <v>12</v>
      </c>
      <c r="H32" s="24" t="s">
        <v>125</v>
      </c>
      <c r="I32" s="6">
        <v>2.5</v>
      </c>
      <c r="J32" s="5">
        <v>52.5</v>
      </c>
      <c r="K32" s="5">
        <f t="shared" si="0"/>
        <v>29.5</v>
      </c>
      <c r="L32" s="6" t="s">
        <v>217</v>
      </c>
      <c r="M32" s="78"/>
      <c r="N32" s="6"/>
    </row>
    <row r="33" spans="1:30" ht="24" customHeight="1" x14ac:dyDescent="0.25">
      <c r="A33" s="63">
        <v>20</v>
      </c>
      <c r="B33" s="19" t="s">
        <v>44</v>
      </c>
      <c r="C33" s="13" t="s">
        <v>110</v>
      </c>
      <c r="D33" s="58">
        <v>23</v>
      </c>
      <c r="E33" s="24" t="s">
        <v>125</v>
      </c>
      <c r="F33" s="24" t="s">
        <v>125</v>
      </c>
      <c r="G33" s="49">
        <v>15</v>
      </c>
      <c r="H33" s="24" t="s">
        <v>125</v>
      </c>
      <c r="I33" s="6">
        <v>2.5</v>
      </c>
      <c r="J33" s="5">
        <v>52.5</v>
      </c>
      <c r="K33" s="5">
        <f t="shared" si="0"/>
        <v>40.5</v>
      </c>
      <c r="L33" s="6" t="s">
        <v>217</v>
      </c>
      <c r="M33" s="78"/>
      <c r="N33" s="6"/>
    </row>
    <row r="34" spans="1:30" ht="24" customHeight="1" x14ac:dyDescent="0.25">
      <c r="A34" s="63">
        <v>21</v>
      </c>
      <c r="B34" s="19" t="s">
        <v>46</v>
      </c>
      <c r="C34" s="20" t="s">
        <v>111</v>
      </c>
      <c r="D34" s="58">
        <v>19</v>
      </c>
      <c r="E34" s="24" t="s">
        <v>125</v>
      </c>
      <c r="F34" s="24" t="s">
        <v>125</v>
      </c>
      <c r="G34" s="49">
        <v>12</v>
      </c>
      <c r="H34" s="24" t="s">
        <v>125</v>
      </c>
      <c r="I34" s="6">
        <v>2.5</v>
      </c>
      <c r="J34" s="5">
        <v>52.5</v>
      </c>
      <c r="K34" s="5">
        <f t="shared" si="0"/>
        <v>33.5</v>
      </c>
      <c r="L34" s="6" t="s">
        <v>217</v>
      </c>
      <c r="M34" s="78"/>
      <c r="N34" s="6"/>
    </row>
    <row r="35" spans="1:30" ht="24" customHeight="1" x14ac:dyDescent="0.25">
      <c r="A35" s="63">
        <v>22</v>
      </c>
      <c r="B35" s="15" t="s">
        <v>48</v>
      </c>
      <c r="C35" s="16" t="s">
        <v>112</v>
      </c>
      <c r="D35" s="58">
        <v>10</v>
      </c>
      <c r="E35" s="24" t="s">
        <v>125</v>
      </c>
      <c r="F35" s="24" t="s">
        <v>125</v>
      </c>
      <c r="G35" s="49">
        <v>12</v>
      </c>
      <c r="H35" s="24" t="s">
        <v>125</v>
      </c>
      <c r="I35" s="6">
        <v>2.5</v>
      </c>
      <c r="J35" s="5">
        <v>52.5</v>
      </c>
      <c r="K35" s="5">
        <f t="shared" si="0"/>
        <v>24.5</v>
      </c>
      <c r="L35" s="6" t="s">
        <v>217</v>
      </c>
      <c r="M35" s="78"/>
      <c r="N35" s="6"/>
    </row>
    <row r="36" spans="1:30" ht="24" customHeight="1" x14ac:dyDescent="0.25">
      <c r="A36" s="63">
        <v>23</v>
      </c>
      <c r="B36" s="15" t="s">
        <v>50</v>
      </c>
      <c r="C36" s="21" t="s">
        <v>113</v>
      </c>
      <c r="D36" s="58">
        <v>15</v>
      </c>
      <c r="E36" s="24" t="s">
        <v>125</v>
      </c>
      <c r="F36" s="24" t="s">
        <v>125</v>
      </c>
      <c r="G36" s="49">
        <v>12</v>
      </c>
      <c r="H36" s="24" t="s">
        <v>125</v>
      </c>
      <c r="I36" s="6">
        <v>2.5</v>
      </c>
      <c r="J36" s="5">
        <v>52.5</v>
      </c>
      <c r="K36" s="5">
        <f t="shared" si="0"/>
        <v>29.5</v>
      </c>
      <c r="L36" s="6" t="s">
        <v>217</v>
      </c>
      <c r="M36" s="78"/>
      <c r="N36" s="6"/>
    </row>
    <row r="37" spans="1:30" ht="24" customHeight="1" x14ac:dyDescent="0.25">
      <c r="A37" s="66">
        <v>24</v>
      </c>
      <c r="B37" s="15" t="s">
        <v>52</v>
      </c>
      <c r="C37" s="21" t="s">
        <v>114</v>
      </c>
      <c r="D37" s="58">
        <v>9</v>
      </c>
      <c r="E37" s="24" t="s">
        <v>125</v>
      </c>
      <c r="F37" s="24" t="s">
        <v>125</v>
      </c>
      <c r="G37" s="49">
        <v>12</v>
      </c>
      <c r="H37" s="24" t="s">
        <v>125</v>
      </c>
      <c r="I37" s="6">
        <v>2.5</v>
      </c>
      <c r="J37" s="5">
        <v>52.5</v>
      </c>
      <c r="K37" s="5">
        <f t="shared" si="0"/>
        <v>23.5</v>
      </c>
      <c r="L37" s="6" t="s">
        <v>217</v>
      </c>
      <c r="M37" s="78"/>
      <c r="N37" s="6"/>
    </row>
    <row r="38" spans="1:30" ht="24" customHeight="1" x14ac:dyDescent="0.25">
      <c r="A38" s="66">
        <v>25</v>
      </c>
      <c r="B38" s="15" t="s">
        <v>54</v>
      </c>
      <c r="C38" s="21" t="s">
        <v>115</v>
      </c>
      <c r="D38" s="58">
        <v>10</v>
      </c>
      <c r="E38" s="24" t="s">
        <v>125</v>
      </c>
      <c r="F38" s="24" t="s">
        <v>125</v>
      </c>
      <c r="G38" s="49">
        <v>12</v>
      </c>
      <c r="H38" s="24" t="s">
        <v>125</v>
      </c>
      <c r="I38" s="6">
        <v>2.5</v>
      </c>
      <c r="J38" s="5">
        <v>52.5</v>
      </c>
      <c r="K38" s="5">
        <f t="shared" si="0"/>
        <v>24.5</v>
      </c>
      <c r="L38" s="6" t="s">
        <v>217</v>
      </c>
      <c r="M38" s="78"/>
      <c r="N38" s="6"/>
    </row>
    <row r="39" spans="1:30" ht="24" customHeight="1" x14ac:dyDescent="0.25">
      <c r="A39" s="66">
        <v>26</v>
      </c>
      <c r="B39" s="15" t="s">
        <v>56</v>
      </c>
      <c r="C39" s="21" t="s">
        <v>116</v>
      </c>
      <c r="D39" s="58">
        <v>9</v>
      </c>
      <c r="E39" s="24" t="s">
        <v>125</v>
      </c>
      <c r="F39" s="24" t="s">
        <v>125</v>
      </c>
      <c r="G39" s="49">
        <v>12</v>
      </c>
      <c r="H39" s="24" t="s">
        <v>125</v>
      </c>
      <c r="I39" s="6">
        <v>2.5</v>
      </c>
      <c r="J39" s="5">
        <v>52.5</v>
      </c>
      <c r="K39" s="5">
        <f t="shared" si="0"/>
        <v>23.5</v>
      </c>
      <c r="L39" s="6" t="s">
        <v>217</v>
      </c>
      <c r="M39" s="78"/>
      <c r="N39" s="6"/>
    </row>
    <row r="40" spans="1:30" ht="33" customHeight="1" x14ac:dyDescent="0.25">
      <c r="A40" s="226" t="s">
        <v>117</v>
      </c>
      <c r="B40" s="226"/>
      <c r="C40" s="226"/>
      <c r="D40" s="226"/>
      <c r="E40" s="226"/>
      <c r="F40" s="226"/>
      <c r="G40" s="226"/>
      <c r="H40" s="226"/>
      <c r="I40" s="226"/>
      <c r="J40" s="226"/>
      <c r="K40" s="226"/>
      <c r="L40" s="51">
        <f>COUNTIF(K14:K39,"&gt;=21")</f>
        <v>26</v>
      </c>
      <c r="M40" s="51"/>
      <c r="N40" s="51"/>
    </row>
    <row r="41" spans="1:30" ht="23.25" customHeight="1" x14ac:dyDescent="0.25">
      <c r="A41" s="226" t="s">
        <v>118</v>
      </c>
      <c r="B41" s="226"/>
      <c r="C41" s="226"/>
      <c r="D41" s="226"/>
      <c r="E41" s="226"/>
      <c r="F41" s="226"/>
      <c r="G41" s="226"/>
      <c r="H41" s="226"/>
      <c r="I41" s="226"/>
      <c r="J41" s="226"/>
      <c r="K41" s="226"/>
      <c r="L41" s="51">
        <f>L40/26*100</f>
        <v>100</v>
      </c>
      <c r="M41" s="51"/>
      <c r="N41" s="51"/>
    </row>
    <row r="42" spans="1:30" ht="25.5" customHeight="1" x14ac:dyDescent="0.25">
      <c r="A42" s="226" t="s">
        <v>119</v>
      </c>
      <c r="B42" s="226"/>
      <c r="C42" s="226"/>
      <c r="D42" s="226"/>
      <c r="E42" s="226"/>
      <c r="F42" s="226"/>
      <c r="G42" s="226"/>
      <c r="H42" s="226"/>
      <c r="I42" s="226"/>
      <c r="J42" s="226"/>
      <c r="K42" s="226"/>
      <c r="L42" s="51">
        <v>3</v>
      </c>
      <c r="M42" s="51"/>
      <c r="N42" s="51"/>
    </row>
    <row r="43" spans="1:30" ht="30.75" customHeight="1" x14ac:dyDescent="0.25">
      <c r="A43" s="226" t="s">
        <v>120</v>
      </c>
      <c r="B43" s="226"/>
      <c r="C43" s="226"/>
      <c r="D43" s="226"/>
      <c r="E43" s="226"/>
      <c r="F43" s="226"/>
      <c r="G43" s="226"/>
      <c r="H43" s="226"/>
      <c r="I43" s="226"/>
      <c r="J43" s="226"/>
      <c r="K43" s="226"/>
      <c r="L43" s="239" t="s">
        <v>219</v>
      </c>
      <c r="M43" s="240"/>
      <c r="N43" s="241"/>
    </row>
    <row r="44" spans="1:30" x14ac:dyDescent="0.25">
      <c r="C44" s="245"/>
      <c r="D44" s="245"/>
      <c r="E44" s="245"/>
      <c r="F44" s="245"/>
      <c r="G44" s="245"/>
      <c r="H44" s="245"/>
      <c r="I44" s="245"/>
      <c r="J44" s="245"/>
      <c r="K44" s="245"/>
    </row>
    <row r="45" spans="1:30" ht="29.25" customHeight="1" x14ac:dyDescent="0.25">
      <c r="I45" s="226" t="s">
        <v>129</v>
      </c>
      <c r="J45" s="226"/>
      <c r="K45" s="226"/>
      <c r="L45" s="226"/>
      <c r="M45" s="62"/>
    </row>
    <row r="48" spans="1:30" ht="15.75" x14ac:dyDescent="0.25">
      <c r="A48" s="220" t="s">
        <v>145</v>
      </c>
      <c r="B48" s="220"/>
      <c r="C48" s="220"/>
      <c r="D48" s="220"/>
      <c r="E48" s="220"/>
      <c r="F48" s="220"/>
      <c r="G48" s="220"/>
      <c r="H48" s="37"/>
      <c r="I48" s="37"/>
      <c r="J48" s="210" t="s">
        <v>138</v>
      </c>
      <c r="K48" s="210"/>
      <c r="L48" s="210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AB48" s="210" t="s">
        <v>138</v>
      </c>
      <c r="AC48" s="210"/>
      <c r="AD48" s="210"/>
    </row>
    <row r="49" spans="1:22" x14ac:dyDescent="0.25">
      <c r="A49" s="211" t="s">
        <v>146</v>
      </c>
      <c r="B49" s="211"/>
      <c r="C49" s="211"/>
      <c r="D49" s="38"/>
      <c r="E49" s="38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2"/>
    </row>
  </sheetData>
  <mergeCells count="26">
    <mergeCell ref="J48:L48"/>
    <mergeCell ref="A49:C49"/>
    <mergeCell ref="A4:N4"/>
    <mergeCell ref="A5:N5"/>
    <mergeCell ref="A6:N6"/>
    <mergeCell ref="D9:I9"/>
    <mergeCell ref="D10:I10"/>
    <mergeCell ref="A40:K40"/>
    <mergeCell ref="A41:K41"/>
    <mergeCell ref="A42:K42"/>
    <mergeCell ref="AB48:AD48"/>
    <mergeCell ref="A48:G48"/>
    <mergeCell ref="I45:L45"/>
    <mergeCell ref="A3:M3"/>
    <mergeCell ref="A1:N1"/>
    <mergeCell ref="A2:N2"/>
    <mergeCell ref="L43:N43"/>
    <mergeCell ref="A43:K43"/>
    <mergeCell ref="J9:J13"/>
    <mergeCell ref="K9:K13"/>
    <mergeCell ref="L9:L13"/>
    <mergeCell ref="M9:M13"/>
    <mergeCell ref="N9:N13"/>
    <mergeCell ref="C44:K44"/>
    <mergeCell ref="A8:L8"/>
    <mergeCell ref="M8:N8"/>
  </mergeCells>
  <printOptions horizontalCentered="1"/>
  <pageMargins left="0.2" right="0.2" top="0.25" bottom="0.25" header="0.05" footer="0.05"/>
  <pageSetup paperSize="9" scale="95" orientation="landscape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50"/>
  <sheetViews>
    <sheetView topLeftCell="A6" workbookViewId="0">
      <selection activeCell="I25" sqref="I25"/>
    </sheetView>
  </sheetViews>
  <sheetFormatPr defaultRowHeight="15" x14ac:dyDescent="0.25"/>
  <cols>
    <col min="1" max="1" width="8" bestFit="1" customWidth="1"/>
    <col min="2" max="2" width="15.85546875" customWidth="1"/>
    <col min="3" max="3" width="23" customWidth="1"/>
    <col min="4" max="4" width="10.85546875" bestFit="1" customWidth="1"/>
    <col min="5" max="6" width="7.140625" customWidth="1"/>
    <col min="7" max="7" width="8.5703125" customWidth="1"/>
    <col min="8" max="8" width="13" customWidth="1"/>
    <col min="9" max="9" width="10.140625" customWidth="1"/>
    <col min="10" max="14" width="9.42578125" customWidth="1"/>
  </cols>
  <sheetData>
    <row r="1" spans="1:29" s="34" customFormat="1" ht="21.75" customHeight="1" x14ac:dyDescent="0.35">
      <c r="A1" s="202" t="s">
        <v>135</v>
      </c>
      <c r="B1" s="202"/>
      <c r="C1" s="202"/>
      <c r="D1" s="202"/>
      <c r="E1" s="202"/>
      <c r="F1" s="202"/>
      <c r="G1" s="202"/>
      <c r="H1" s="202"/>
      <c r="I1" s="202"/>
      <c r="J1" s="202"/>
      <c r="K1" s="202"/>
      <c r="L1" s="202"/>
      <c r="M1" s="202"/>
      <c r="N1" s="202"/>
    </row>
    <row r="2" spans="1:29" s="34" customFormat="1" ht="18" customHeight="1" x14ac:dyDescent="0.35">
      <c r="A2" s="203" t="s">
        <v>136</v>
      </c>
      <c r="B2" s="203"/>
      <c r="C2" s="203"/>
      <c r="D2" s="203"/>
      <c r="E2" s="203"/>
      <c r="F2" s="203"/>
      <c r="G2" s="203"/>
      <c r="H2" s="203"/>
      <c r="I2" s="203"/>
      <c r="J2" s="203"/>
      <c r="K2" s="203"/>
      <c r="L2" s="203"/>
      <c r="M2" s="203"/>
      <c r="N2" s="203"/>
    </row>
    <row r="3" spans="1:29" ht="12.75" customHeight="1" x14ac:dyDescent="0.25">
      <c r="A3" s="208"/>
      <c r="B3" s="208"/>
      <c r="C3" s="208"/>
      <c r="D3" s="208"/>
      <c r="E3" s="208"/>
      <c r="F3" s="208"/>
      <c r="G3" s="208"/>
      <c r="H3" s="208"/>
      <c r="I3" s="208"/>
      <c r="J3" s="208"/>
      <c r="K3" s="208"/>
      <c r="L3" s="208"/>
      <c r="M3" s="208"/>
    </row>
    <row r="4" spans="1:29" s="36" customFormat="1" ht="17.25" customHeight="1" x14ac:dyDescent="0.25">
      <c r="A4" s="204" t="s">
        <v>140</v>
      </c>
      <c r="B4" s="205"/>
      <c r="C4" s="205"/>
      <c r="D4" s="205"/>
      <c r="E4" s="205"/>
      <c r="F4" s="205"/>
      <c r="G4" s="205"/>
      <c r="H4" s="205"/>
      <c r="I4" s="205"/>
      <c r="J4" s="205"/>
      <c r="K4" s="205"/>
      <c r="L4" s="205"/>
      <c r="M4" s="205"/>
      <c r="N4" s="205"/>
    </row>
    <row r="5" spans="1:29" s="36" customFormat="1" ht="26.25" customHeight="1" x14ac:dyDescent="0.25">
      <c r="A5" s="206" t="s">
        <v>192</v>
      </c>
      <c r="B5" s="207"/>
      <c r="C5" s="207"/>
      <c r="D5" s="207"/>
      <c r="E5" s="207"/>
      <c r="F5" s="207"/>
      <c r="G5" s="207"/>
      <c r="H5" s="207"/>
      <c r="I5" s="207"/>
      <c r="J5" s="207"/>
      <c r="K5" s="207"/>
      <c r="L5" s="207"/>
      <c r="M5" s="207"/>
      <c r="N5" s="207"/>
    </row>
    <row r="6" spans="1:29" s="36" customFormat="1" ht="17.25" customHeight="1" x14ac:dyDescent="0.25">
      <c r="A6" s="204" t="s">
        <v>139</v>
      </c>
      <c r="B6" s="205"/>
      <c r="C6" s="205"/>
      <c r="D6" s="205"/>
      <c r="E6" s="205"/>
      <c r="F6" s="205"/>
      <c r="G6" s="205"/>
      <c r="H6" s="205"/>
      <c r="I6" s="205"/>
      <c r="J6" s="205"/>
      <c r="K6" s="205"/>
      <c r="L6" s="205"/>
      <c r="M6" s="205"/>
      <c r="N6" s="205"/>
    </row>
    <row r="8" spans="1:29" ht="28.5" customHeight="1" x14ac:dyDescent="0.25">
      <c r="A8" s="254" t="s">
        <v>83</v>
      </c>
      <c r="B8" s="254"/>
      <c r="C8" s="254"/>
      <c r="D8" s="254"/>
      <c r="E8" s="254"/>
      <c r="F8" s="254"/>
      <c r="G8" s="254"/>
      <c r="H8" s="254"/>
      <c r="I8" s="254"/>
      <c r="J8" s="254"/>
      <c r="K8" s="254"/>
      <c r="L8" s="254"/>
      <c r="M8" s="254" t="s">
        <v>84</v>
      </c>
      <c r="N8" s="254"/>
    </row>
    <row r="9" spans="1:29" s="25" customFormat="1" ht="27.75" customHeight="1" x14ac:dyDescent="0.25">
      <c r="A9" s="41" t="s">
        <v>124</v>
      </c>
      <c r="B9" s="41" t="s">
        <v>123</v>
      </c>
      <c r="C9" s="26" t="s">
        <v>85</v>
      </c>
      <c r="D9" s="249" t="s">
        <v>203</v>
      </c>
      <c r="E9" s="249"/>
      <c r="F9" s="249"/>
      <c r="G9" s="249"/>
      <c r="H9" s="249"/>
      <c r="I9" s="249"/>
      <c r="J9" s="242" t="s">
        <v>127</v>
      </c>
      <c r="K9" s="242" t="s">
        <v>128</v>
      </c>
      <c r="L9" s="242" t="s">
        <v>230</v>
      </c>
      <c r="M9" s="242" t="s">
        <v>130</v>
      </c>
      <c r="N9" s="242" t="s">
        <v>225</v>
      </c>
    </row>
    <row r="10" spans="1:29" s="25" customFormat="1" ht="50.25" customHeight="1" x14ac:dyDescent="0.25">
      <c r="A10" s="27"/>
      <c r="B10" s="27"/>
      <c r="C10" s="26" t="s">
        <v>86</v>
      </c>
      <c r="D10" s="250" t="s">
        <v>204</v>
      </c>
      <c r="E10" s="251"/>
      <c r="F10" s="251"/>
      <c r="G10" s="251"/>
      <c r="H10" s="251"/>
      <c r="I10" s="252"/>
      <c r="J10" s="243"/>
      <c r="K10" s="243"/>
      <c r="L10" s="243"/>
      <c r="M10" s="243"/>
      <c r="N10" s="243"/>
    </row>
    <row r="11" spans="1:29" ht="21.75" customHeight="1" x14ac:dyDescent="0.25">
      <c r="A11" s="17"/>
      <c r="B11" s="17"/>
      <c r="C11" s="27" t="s">
        <v>87</v>
      </c>
      <c r="D11" s="8" t="s">
        <v>73</v>
      </c>
      <c r="E11" s="8" t="s">
        <v>74</v>
      </c>
      <c r="F11" s="8" t="s">
        <v>75</v>
      </c>
      <c r="G11" s="8" t="s">
        <v>76</v>
      </c>
      <c r="H11" s="8" t="s">
        <v>77</v>
      </c>
      <c r="I11" s="8" t="s">
        <v>88</v>
      </c>
      <c r="J11" s="243"/>
      <c r="K11" s="243"/>
      <c r="L11" s="243"/>
      <c r="M11" s="243"/>
      <c r="N11" s="243"/>
    </row>
    <row r="12" spans="1:29" ht="25.5" x14ac:dyDescent="0.25">
      <c r="A12" s="17"/>
      <c r="B12" s="22"/>
      <c r="C12" s="26" t="s">
        <v>89</v>
      </c>
      <c r="D12" s="24" t="s">
        <v>125</v>
      </c>
      <c r="E12" s="10" t="s">
        <v>209</v>
      </c>
      <c r="F12" s="24" t="s">
        <v>125</v>
      </c>
      <c r="G12" s="42" t="s">
        <v>216</v>
      </c>
      <c r="H12" s="42" t="s">
        <v>215</v>
      </c>
      <c r="I12" s="18" t="s">
        <v>80</v>
      </c>
      <c r="J12" s="253"/>
      <c r="K12" s="253"/>
      <c r="L12" s="253"/>
      <c r="M12" s="253"/>
      <c r="N12" s="25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  <c r="AA12" s="43"/>
      <c r="AB12" s="43"/>
      <c r="AC12" s="43"/>
    </row>
    <row r="13" spans="1:29" ht="24" customHeight="1" x14ac:dyDescent="0.25">
      <c r="A13" s="17"/>
      <c r="B13" s="17"/>
      <c r="C13" s="27" t="s">
        <v>90</v>
      </c>
      <c r="D13" s="24" t="s">
        <v>125</v>
      </c>
      <c r="E13" s="8">
        <v>30</v>
      </c>
      <c r="F13" s="24" t="s">
        <v>125</v>
      </c>
      <c r="G13" s="8">
        <v>80</v>
      </c>
      <c r="H13" s="8">
        <v>20</v>
      </c>
      <c r="I13" s="8">
        <v>2.5</v>
      </c>
      <c r="J13" s="244"/>
      <c r="K13" s="244"/>
      <c r="L13" s="244"/>
      <c r="M13" s="244"/>
      <c r="N13" s="244"/>
    </row>
    <row r="14" spans="1:29" ht="24" customHeight="1" x14ac:dyDescent="0.25">
      <c r="A14" s="15">
        <v>1</v>
      </c>
      <c r="B14" s="19" t="s">
        <v>6</v>
      </c>
      <c r="C14" s="13" t="s">
        <v>91</v>
      </c>
      <c r="D14" s="24" t="s">
        <v>125</v>
      </c>
      <c r="E14" s="55">
        <v>14</v>
      </c>
      <c r="F14" s="24" t="s">
        <v>125</v>
      </c>
      <c r="G14" s="80">
        <v>78</v>
      </c>
      <c r="H14" s="49">
        <v>20</v>
      </c>
      <c r="I14" s="6">
        <v>2.5</v>
      </c>
      <c r="J14" s="5">
        <v>132.5</v>
      </c>
      <c r="K14" s="83">
        <f>SUM(D14:I14)</f>
        <v>114.5</v>
      </c>
      <c r="L14" s="82" t="s">
        <v>217</v>
      </c>
      <c r="M14" s="65"/>
      <c r="N14" s="5"/>
    </row>
    <row r="15" spans="1:29" ht="24" customHeight="1" x14ac:dyDescent="0.25">
      <c r="A15" s="15">
        <v>2</v>
      </c>
      <c r="B15" s="19" t="s">
        <v>8</v>
      </c>
      <c r="C15" s="13" t="s">
        <v>92</v>
      </c>
      <c r="D15" s="24" t="s">
        <v>125</v>
      </c>
      <c r="E15" s="55">
        <v>15</v>
      </c>
      <c r="F15" s="24" t="s">
        <v>125</v>
      </c>
      <c r="G15" s="49">
        <v>70</v>
      </c>
      <c r="H15" s="49">
        <v>19.57</v>
      </c>
      <c r="I15" s="6">
        <v>2.5</v>
      </c>
      <c r="J15" s="5">
        <v>132.5</v>
      </c>
      <c r="K15" s="83">
        <f t="shared" ref="K15:K39" si="0">SUM(D15:I15)</f>
        <v>107.07</v>
      </c>
      <c r="L15" s="80" t="s">
        <v>217</v>
      </c>
      <c r="M15" s="65"/>
      <c r="N15" s="5"/>
    </row>
    <row r="16" spans="1:29" ht="24" customHeight="1" x14ac:dyDescent="0.25">
      <c r="A16" s="15">
        <v>3</v>
      </c>
      <c r="B16" s="19" t="s">
        <v>10</v>
      </c>
      <c r="C16" s="13" t="s">
        <v>93</v>
      </c>
      <c r="D16" s="24" t="s">
        <v>125</v>
      </c>
      <c r="E16" s="55">
        <v>20</v>
      </c>
      <c r="F16" s="24" t="s">
        <v>125</v>
      </c>
      <c r="G16" s="49">
        <v>75</v>
      </c>
      <c r="H16" s="49">
        <v>20</v>
      </c>
      <c r="I16" s="6">
        <v>2.5</v>
      </c>
      <c r="J16" s="5">
        <v>132.5</v>
      </c>
      <c r="K16" s="83">
        <f t="shared" si="0"/>
        <v>117.5</v>
      </c>
      <c r="L16" s="49" t="s">
        <v>217</v>
      </c>
      <c r="M16" s="65"/>
      <c r="N16" s="5"/>
    </row>
    <row r="17" spans="1:14" ht="24" customHeight="1" x14ac:dyDescent="0.25">
      <c r="A17" s="15">
        <v>4</v>
      </c>
      <c r="B17" s="19" t="s">
        <v>12</v>
      </c>
      <c r="C17" s="13" t="s">
        <v>94</v>
      </c>
      <c r="D17" s="24" t="s">
        <v>125</v>
      </c>
      <c r="E17" s="55">
        <v>8</v>
      </c>
      <c r="F17" s="24" t="s">
        <v>125</v>
      </c>
      <c r="G17" s="49">
        <v>60</v>
      </c>
      <c r="H17" s="49">
        <v>17.8</v>
      </c>
      <c r="I17" s="6">
        <v>2.5</v>
      </c>
      <c r="J17" s="5">
        <v>132.5</v>
      </c>
      <c r="K17" s="83">
        <f t="shared" si="0"/>
        <v>88.3</v>
      </c>
      <c r="L17" s="49" t="s">
        <v>217</v>
      </c>
      <c r="M17" s="65"/>
      <c r="N17" s="5"/>
    </row>
    <row r="18" spans="1:14" ht="24" customHeight="1" x14ac:dyDescent="0.25">
      <c r="A18" s="15">
        <v>5</v>
      </c>
      <c r="B18" s="19" t="s">
        <v>14</v>
      </c>
      <c r="C18" s="13" t="s">
        <v>95</v>
      </c>
      <c r="D18" s="24" t="s">
        <v>125</v>
      </c>
      <c r="E18" s="55">
        <v>15</v>
      </c>
      <c r="F18" s="24" t="s">
        <v>125</v>
      </c>
      <c r="G18" s="49">
        <v>70</v>
      </c>
      <c r="H18" s="49">
        <v>18</v>
      </c>
      <c r="I18" s="6">
        <v>2.5</v>
      </c>
      <c r="J18" s="5">
        <v>132.5</v>
      </c>
      <c r="K18" s="83">
        <f t="shared" si="0"/>
        <v>105.5</v>
      </c>
      <c r="L18" s="49" t="s">
        <v>217</v>
      </c>
      <c r="M18" s="65"/>
      <c r="N18" s="5"/>
    </row>
    <row r="19" spans="1:14" ht="24" customHeight="1" x14ac:dyDescent="0.25">
      <c r="A19" s="15">
        <v>6</v>
      </c>
      <c r="B19" s="19" t="s">
        <v>16</v>
      </c>
      <c r="C19" s="13" t="s">
        <v>96</v>
      </c>
      <c r="D19" s="24" t="s">
        <v>125</v>
      </c>
      <c r="E19" s="55">
        <v>16</v>
      </c>
      <c r="F19" s="24" t="s">
        <v>125</v>
      </c>
      <c r="G19" s="49">
        <v>17</v>
      </c>
      <c r="H19" s="49">
        <v>18</v>
      </c>
      <c r="I19" s="6">
        <v>2.5</v>
      </c>
      <c r="J19" s="5">
        <v>132.5</v>
      </c>
      <c r="K19" s="83">
        <f t="shared" si="0"/>
        <v>53.5</v>
      </c>
      <c r="L19" s="49" t="s">
        <v>217</v>
      </c>
      <c r="M19" s="65"/>
      <c r="N19" s="5"/>
    </row>
    <row r="20" spans="1:14" ht="24" customHeight="1" x14ac:dyDescent="0.25">
      <c r="A20" s="15">
        <v>7</v>
      </c>
      <c r="B20" s="19" t="s">
        <v>18</v>
      </c>
      <c r="C20" s="13" t="s">
        <v>97</v>
      </c>
      <c r="D20" s="24" t="s">
        <v>125</v>
      </c>
      <c r="E20" s="55">
        <v>10</v>
      </c>
      <c r="F20" s="24" t="s">
        <v>125</v>
      </c>
      <c r="G20" s="49">
        <v>17</v>
      </c>
      <c r="H20" s="49">
        <v>18</v>
      </c>
      <c r="I20" s="6">
        <v>2.5</v>
      </c>
      <c r="J20" s="5">
        <v>132.5</v>
      </c>
      <c r="K20" s="83">
        <f t="shared" si="0"/>
        <v>47.5</v>
      </c>
      <c r="L20" s="79" t="s">
        <v>218</v>
      </c>
      <c r="M20" s="65"/>
      <c r="N20" s="5"/>
    </row>
    <row r="21" spans="1:14" ht="24" customHeight="1" x14ac:dyDescent="0.25">
      <c r="A21" s="15">
        <v>8</v>
      </c>
      <c r="B21" s="19" t="s">
        <v>20</v>
      </c>
      <c r="C21" s="13" t="s">
        <v>98</v>
      </c>
      <c r="D21" s="24" t="s">
        <v>125</v>
      </c>
      <c r="E21" s="55">
        <v>14</v>
      </c>
      <c r="F21" s="24" t="s">
        <v>125</v>
      </c>
      <c r="G21" s="49">
        <v>17</v>
      </c>
      <c r="H21" s="49">
        <v>20</v>
      </c>
      <c r="I21" s="6">
        <v>2.5</v>
      </c>
      <c r="J21" s="5">
        <v>132.5</v>
      </c>
      <c r="K21" s="83">
        <f t="shared" si="0"/>
        <v>53.5</v>
      </c>
      <c r="L21" s="49" t="s">
        <v>217</v>
      </c>
      <c r="M21" s="65"/>
      <c r="N21" s="5"/>
    </row>
    <row r="22" spans="1:14" ht="24" customHeight="1" x14ac:dyDescent="0.25">
      <c r="A22" s="15">
        <v>9</v>
      </c>
      <c r="B22" s="19" t="s">
        <v>22</v>
      </c>
      <c r="C22" s="13" t="s">
        <v>99</v>
      </c>
      <c r="D22" s="24" t="s">
        <v>125</v>
      </c>
      <c r="E22" s="55">
        <v>9</v>
      </c>
      <c r="F22" s="24" t="s">
        <v>125</v>
      </c>
      <c r="G22" s="49">
        <v>65</v>
      </c>
      <c r="H22" s="49">
        <v>18</v>
      </c>
      <c r="I22" s="6">
        <v>2.5</v>
      </c>
      <c r="J22" s="5">
        <v>132.5</v>
      </c>
      <c r="K22" s="83">
        <f t="shared" si="0"/>
        <v>94.5</v>
      </c>
      <c r="L22" s="49" t="s">
        <v>217</v>
      </c>
      <c r="M22" s="65"/>
      <c r="N22" s="5"/>
    </row>
    <row r="23" spans="1:14" ht="24" customHeight="1" x14ac:dyDescent="0.25">
      <c r="A23" s="15">
        <v>10</v>
      </c>
      <c r="B23" s="19" t="s">
        <v>24</v>
      </c>
      <c r="C23" s="20" t="s">
        <v>100</v>
      </c>
      <c r="D23" s="24" t="s">
        <v>125</v>
      </c>
      <c r="E23" s="56">
        <v>11</v>
      </c>
      <c r="F23" s="24" t="s">
        <v>125</v>
      </c>
      <c r="G23" s="49">
        <v>75</v>
      </c>
      <c r="H23" s="49">
        <v>18</v>
      </c>
      <c r="I23" s="6">
        <v>2.5</v>
      </c>
      <c r="J23" s="5">
        <v>132.5</v>
      </c>
      <c r="K23" s="83">
        <f t="shared" si="0"/>
        <v>106.5</v>
      </c>
      <c r="L23" s="49" t="s">
        <v>217</v>
      </c>
      <c r="M23" s="65"/>
      <c r="N23" s="5"/>
    </row>
    <row r="24" spans="1:14" ht="24" customHeight="1" x14ac:dyDescent="0.25">
      <c r="A24" s="15">
        <v>11</v>
      </c>
      <c r="B24" s="19" t="s">
        <v>26</v>
      </c>
      <c r="C24" s="13" t="s">
        <v>101</v>
      </c>
      <c r="D24" s="24" t="s">
        <v>125</v>
      </c>
      <c r="E24" s="55">
        <v>10</v>
      </c>
      <c r="F24" s="24" t="s">
        <v>125</v>
      </c>
      <c r="G24" s="49">
        <v>70</v>
      </c>
      <c r="H24" s="49">
        <v>18</v>
      </c>
      <c r="I24" s="6">
        <v>2.5</v>
      </c>
      <c r="J24" s="5">
        <v>132.5</v>
      </c>
      <c r="K24" s="83">
        <f t="shared" si="0"/>
        <v>100.5</v>
      </c>
      <c r="L24" s="49" t="s">
        <v>217</v>
      </c>
      <c r="M24" s="65"/>
      <c r="N24" s="5"/>
    </row>
    <row r="25" spans="1:14" ht="24" customHeight="1" x14ac:dyDescent="0.25">
      <c r="A25" s="63">
        <v>12</v>
      </c>
      <c r="B25" s="19" t="s">
        <v>28</v>
      </c>
      <c r="C25" s="13" t="s">
        <v>102</v>
      </c>
      <c r="D25" s="24" t="s">
        <v>125</v>
      </c>
      <c r="E25" s="55">
        <v>14</v>
      </c>
      <c r="F25" s="24" t="s">
        <v>125</v>
      </c>
      <c r="G25" s="49">
        <v>75</v>
      </c>
      <c r="H25" s="49">
        <v>20</v>
      </c>
      <c r="I25" s="6">
        <v>2.5</v>
      </c>
      <c r="J25" s="5">
        <v>132.5</v>
      </c>
      <c r="K25" s="83">
        <f t="shared" si="0"/>
        <v>111.5</v>
      </c>
      <c r="L25" s="49" t="s">
        <v>217</v>
      </c>
      <c r="M25" s="65"/>
      <c r="N25" s="5"/>
    </row>
    <row r="26" spans="1:14" ht="24" customHeight="1" x14ac:dyDescent="0.25">
      <c r="A26" s="63">
        <v>13</v>
      </c>
      <c r="B26" s="19" t="s">
        <v>30</v>
      </c>
      <c r="C26" s="13" t="s">
        <v>103</v>
      </c>
      <c r="D26" s="24" t="s">
        <v>125</v>
      </c>
      <c r="E26" s="55">
        <v>16</v>
      </c>
      <c r="F26" s="24" t="s">
        <v>125</v>
      </c>
      <c r="G26" s="49">
        <v>65</v>
      </c>
      <c r="H26" s="49">
        <v>16.8</v>
      </c>
      <c r="I26" s="6">
        <v>2.5</v>
      </c>
      <c r="J26" s="5">
        <v>132.5</v>
      </c>
      <c r="K26" s="83">
        <f t="shared" si="0"/>
        <v>100.3</v>
      </c>
      <c r="L26" s="49" t="s">
        <v>217</v>
      </c>
      <c r="M26" s="65"/>
      <c r="N26" s="5"/>
    </row>
    <row r="27" spans="1:14" ht="24" customHeight="1" x14ac:dyDescent="0.25">
      <c r="A27" s="63">
        <v>14</v>
      </c>
      <c r="B27" s="19" t="s">
        <v>32</v>
      </c>
      <c r="C27" s="13" t="s">
        <v>104</v>
      </c>
      <c r="D27" s="24" t="s">
        <v>125</v>
      </c>
      <c r="E27" s="55">
        <v>19</v>
      </c>
      <c r="F27" s="24" t="s">
        <v>125</v>
      </c>
      <c r="G27" s="49">
        <v>65</v>
      </c>
      <c r="H27" s="49">
        <v>18</v>
      </c>
      <c r="I27" s="6">
        <v>2.5</v>
      </c>
      <c r="J27" s="5">
        <v>132.5</v>
      </c>
      <c r="K27" s="83">
        <f t="shared" si="0"/>
        <v>104.5</v>
      </c>
      <c r="L27" s="49" t="s">
        <v>217</v>
      </c>
      <c r="M27" s="65"/>
      <c r="N27" s="5"/>
    </row>
    <row r="28" spans="1:14" ht="24" customHeight="1" x14ac:dyDescent="0.25">
      <c r="A28" s="63">
        <v>15</v>
      </c>
      <c r="B28" s="19" t="s">
        <v>34</v>
      </c>
      <c r="C28" s="13" t="s">
        <v>105</v>
      </c>
      <c r="D28" s="24" t="s">
        <v>125</v>
      </c>
      <c r="E28" s="55">
        <v>11</v>
      </c>
      <c r="F28" s="24" t="s">
        <v>125</v>
      </c>
      <c r="G28" s="49">
        <v>60</v>
      </c>
      <c r="H28" s="49">
        <v>18</v>
      </c>
      <c r="I28" s="6">
        <v>2.5</v>
      </c>
      <c r="J28" s="5">
        <v>132.5</v>
      </c>
      <c r="K28" s="83">
        <f t="shared" si="0"/>
        <v>91.5</v>
      </c>
      <c r="L28" s="49" t="s">
        <v>217</v>
      </c>
      <c r="M28" s="65"/>
      <c r="N28" s="5"/>
    </row>
    <row r="29" spans="1:14" ht="24" customHeight="1" x14ac:dyDescent="0.25">
      <c r="A29" s="63">
        <v>16</v>
      </c>
      <c r="B29" s="19" t="s">
        <v>36</v>
      </c>
      <c r="C29" s="13" t="s">
        <v>106</v>
      </c>
      <c r="D29" s="24" t="s">
        <v>125</v>
      </c>
      <c r="E29" s="55">
        <v>16</v>
      </c>
      <c r="F29" s="24" t="s">
        <v>125</v>
      </c>
      <c r="G29" s="49">
        <v>80</v>
      </c>
      <c r="H29" s="49">
        <v>20</v>
      </c>
      <c r="I29" s="6">
        <v>2.5</v>
      </c>
      <c r="J29" s="5">
        <v>132.5</v>
      </c>
      <c r="K29" s="83">
        <f t="shared" si="0"/>
        <v>118.5</v>
      </c>
      <c r="L29" s="49" t="s">
        <v>217</v>
      </c>
      <c r="M29" s="65"/>
      <c r="N29" s="5"/>
    </row>
    <row r="30" spans="1:14" ht="24" customHeight="1" x14ac:dyDescent="0.25">
      <c r="A30" s="63">
        <v>17</v>
      </c>
      <c r="B30" s="19" t="s">
        <v>38</v>
      </c>
      <c r="C30" s="13" t="s">
        <v>107</v>
      </c>
      <c r="D30" s="24" t="s">
        <v>125</v>
      </c>
      <c r="E30" s="55">
        <v>23</v>
      </c>
      <c r="F30" s="24" t="s">
        <v>125</v>
      </c>
      <c r="G30" s="49">
        <v>75</v>
      </c>
      <c r="H30" s="49">
        <v>20</v>
      </c>
      <c r="I30" s="6">
        <v>2.5</v>
      </c>
      <c r="J30" s="5">
        <v>132.5</v>
      </c>
      <c r="K30" s="83">
        <f t="shared" si="0"/>
        <v>120.5</v>
      </c>
      <c r="L30" s="49" t="s">
        <v>217</v>
      </c>
      <c r="M30" s="65"/>
      <c r="N30" s="5"/>
    </row>
    <row r="31" spans="1:14" ht="24" customHeight="1" x14ac:dyDescent="0.25">
      <c r="A31" s="63">
        <v>18</v>
      </c>
      <c r="B31" s="19" t="s">
        <v>40</v>
      </c>
      <c r="C31" s="13" t="s">
        <v>108</v>
      </c>
      <c r="D31" s="24" t="s">
        <v>125</v>
      </c>
      <c r="E31" s="55">
        <v>9</v>
      </c>
      <c r="F31" s="24" t="s">
        <v>125</v>
      </c>
      <c r="G31" s="49">
        <v>70</v>
      </c>
      <c r="H31" s="49">
        <v>17</v>
      </c>
      <c r="I31" s="6">
        <v>2.5</v>
      </c>
      <c r="J31" s="5">
        <v>132.5</v>
      </c>
      <c r="K31" s="83">
        <f t="shared" si="0"/>
        <v>98.5</v>
      </c>
      <c r="L31" s="49" t="s">
        <v>217</v>
      </c>
      <c r="M31" s="65"/>
      <c r="N31" s="5"/>
    </row>
    <row r="32" spans="1:14" ht="24" customHeight="1" x14ac:dyDescent="0.25">
      <c r="A32" s="63">
        <v>19</v>
      </c>
      <c r="B32" s="19" t="s">
        <v>42</v>
      </c>
      <c r="C32" s="13" t="s">
        <v>109</v>
      </c>
      <c r="D32" s="24" t="s">
        <v>125</v>
      </c>
      <c r="E32" s="55">
        <v>16</v>
      </c>
      <c r="F32" s="24" t="s">
        <v>125</v>
      </c>
      <c r="G32" s="49">
        <v>60</v>
      </c>
      <c r="H32" s="49">
        <v>17</v>
      </c>
      <c r="I32" s="6">
        <v>2.5</v>
      </c>
      <c r="J32" s="5">
        <v>132.5</v>
      </c>
      <c r="K32" s="83">
        <f t="shared" si="0"/>
        <v>95.5</v>
      </c>
      <c r="L32" s="49" t="s">
        <v>217</v>
      </c>
      <c r="M32" s="65"/>
      <c r="N32" s="5"/>
    </row>
    <row r="33" spans="1:14" ht="24" customHeight="1" x14ac:dyDescent="0.25">
      <c r="A33" s="63">
        <v>20</v>
      </c>
      <c r="B33" s="19" t="s">
        <v>44</v>
      </c>
      <c r="C33" s="13" t="s">
        <v>110</v>
      </c>
      <c r="D33" s="24" t="s">
        <v>125</v>
      </c>
      <c r="E33" s="55">
        <v>12</v>
      </c>
      <c r="F33" s="24" t="s">
        <v>125</v>
      </c>
      <c r="G33" s="49">
        <v>80</v>
      </c>
      <c r="H33" s="49">
        <v>19.7</v>
      </c>
      <c r="I33" s="6">
        <v>2.5</v>
      </c>
      <c r="J33" s="5">
        <v>132.5</v>
      </c>
      <c r="K33" s="83">
        <f t="shared" si="0"/>
        <v>114.2</v>
      </c>
      <c r="L33" s="49" t="s">
        <v>217</v>
      </c>
      <c r="M33" s="65"/>
      <c r="N33" s="5"/>
    </row>
    <row r="34" spans="1:14" ht="24" customHeight="1" x14ac:dyDescent="0.25">
      <c r="A34" s="63">
        <v>21</v>
      </c>
      <c r="B34" s="19" t="s">
        <v>46</v>
      </c>
      <c r="C34" s="20" t="s">
        <v>111</v>
      </c>
      <c r="D34" s="24" t="s">
        <v>125</v>
      </c>
      <c r="E34" s="56">
        <v>23</v>
      </c>
      <c r="F34" s="24" t="s">
        <v>125</v>
      </c>
      <c r="G34" s="49">
        <v>80</v>
      </c>
      <c r="H34" s="49">
        <v>20</v>
      </c>
      <c r="I34" s="6">
        <v>2.5</v>
      </c>
      <c r="J34" s="5">
        <v>132.5</v>
      </c>
      <c r="K34" s="83">
        <f t="shared" si="0"/>
        <v>125.5</v>
      </c>
      <c r="L34" s="49" t="s">
        <v>217</v>
      </c>
      <c r="M34" s="65"/>
      <c r="N34" s="5"/>
    </row>
    <row r="35" spans="1:14" ht="24" customHeight="1" x14ac:dyDescent="0.25">
      <c r="A35" s="63">
        <v>22</v>
      </c>
      <c r="B35" s="15" t="s">
        <v>48</v>
      </c>
      <c r="C35" s="16" t="s">
        <v>112</v>
      </c>
      <c r="D35" s="24" t="s">
        <v>125</v>
      </c>
      <c r="E35" s="56">
        <v>11</v>
      </c>
      <c r="F35" s="24" t="s">
        <v>125</v>
      </c>
      <c r="G35" s="49">
        <v>70</v>
      </c>
      <c r="H35" s="49">
        <v>18</v>
      </c>
      <c r="I35" s="6">
        <v>2.5</v>
      </c>
      <c r="J35" s="5">
        <v>132.5</v>
      </c>
      <c r="K35" s="83">
        <f t="shared" si="0"/>
        <v>101.5</v>
      </c>
      <c r="L35" s="49" t="s">
        <v>217</v>
      </c>
      <c r="M35" s="65"/>
      <c r="N35" s="5"/>
    </row>
    <row r="36" spans="1:14" ht="24" customHeight="1" x14ac:dyDescent="0.25">
      <c r="A36" s="63">
        <v>23</v>
      </c>
      <c r="B36" s="15" t="s">
        <v>50</v>
      </c>
      <c r="C36" s="21" t="s">
        <v>113</v>
      </c>
      <c r="D36" s="24" t="s">
        <v>125</v>
      </c>
      <c r="E36" s="55">
        <v>12</v>
      </c>
      <c r="F36" s="24" t="s">
        <v>125</v>
      </c>
      <c r="G36" s="49">
        <v>70</v>
      </c>
      <c r="H36" s="49">
        <v>20</v>
      </c>
      <c r="I36" s="6">
        <v>2.5</v>
      </c>
      <c r="J36" s="5">
        <v>132.5</v>
      </c>
      <c r="K36" s="83">
        <f t="shared" si="0"/>
        <v>104.5</v>
      </c>
      <c r="L36" s="49" t="s">
        <v>217</v>
      </c>
      <c r="M36" s="65"/>
      <c r="N36" s="5"/>
    </row>
    <row r="37" spans="1:14" ht="24" customHeight="1" x14ac:dyDescent="0.25">
      <c r="A37" s="66">
        <v>24</v>
      </c>
      <c r="B37" s="15" t="s">
        <v>52</v>
      </c>
      <c r="C37" s="21" t="s">
        <v>114</v>
      </c>
      <c r="D37" s="24" t="s">
        <v>125</v>
      </c>
      <c r="E37" s="55">
        <v>11</v>
      </c>
      <c r="F37" s="24" t="s">
        <v>125</v>
      </c>
      <c r="G37" s="49">
        <v>70</v>
      </c>
      <c r="H37" s="49">
        <v>18</v>
      </c>
      <c r="I37" s="6">
        <v>2.5</v>
      </c>
      <c r="J37" s="5">
        <v>132.5</v>
      </c>
      <c r="K37" s="83">
        <f t="shared" si="0"/>
        <v>101.5</v>
      </c>
      <c r="L37" s="49" t="s">
        <v>217</v>
      </c>
      <c r="M37" s="65"/>
      <c r="N37" s="5"/>
    </row>
    <row r="38" spans="1:14" ht="24" customHeight="1" x14ac:dyDescent="0.25">
      <c r="A38" s="66">
        <v>25</v>
      </c>
      <c r="B38" s="15" t="s">
        <v>54</v>
      </c>
      <c r="C38" s="21" t="s">
        <v>115</v>
      </c>
      <c r="D38" s="24" t="s">
        <v>125</v>
      </c>
      <c r="E38" s="55">
        <v>11</v>
      </c>
      <c r="F38" s="24" t="s">
        <v>125</v>
      </c>
      <c r="G38" s="49">
        <v>70</v>
      </c>
      <c r="H38" s="49">
        <v>18</v>
      </c>
      <c r="I38" s="6">
        <v>2.5</v>
      </c>
      <c r="J38" s="5">
        <v>132.5</v>
      </c>
      <c r="K38" s="83">
        <f t="shared" si="0"/>
        <v>101.5</v>
      </c>
      <c r="L38" s="49" t="s">
        <v>217</v>
      </c>
      <c r="M38" s="65"/>
      <c r="N38" s="5"/>
    </row>
    <row r="39" spans="1:14" ht="24" customHeight="1" x14ac:dyDescent="0.25">
      <c r="A39" s="66">
        <v>26</v>
      </c>
      <c r="B39" s="15" t="s">
        <v>56</v>
      </c>
      <c r="C39" s="21" t="s">
        <v>116</v>
      </c>
      <c r="D39" s="24" t="s">
        <v>125</v>
      </c>
      <c r="E39" s="55">
        <v>10</v>
      </c>
      <c r="F39" s="24" t="s">
        <v>125</v>
      </c>
      <c r="G39" s="49">
        <v>65</v>
      </c>
      <c r="H39" s="49">
        <v>18</v>
      </c>
      <c r="I39" s="6">
        <v>2.5</v>
      </c>
      <c r="J39" s="5">
        <v>132.5</v>
      </c>
      <c r="K39" s="83">
        <f t="shared" si="0"/>
        <v>95.5</v>
      </c>
      <c r="L39" s="49" t="s">
        <v>217</v>
      </c>
      <c r="M39" s="65"/>
      <c r="N39" s="5"/>
    </row>
    <row r="40" spans="1:14" ht="33" customHeight="1" x14ac:dyDescent="0.25">
      <c r="A40" s="226" t="s">
        <v>117</v>
      </c>
      <c r="B40" s="226"/>
      <c r="C40" s="226"/>
      <c r="D40" s="226"/>
      <c r="E40" s="226"/>
      <c r="F40" s="226"/>
      <c r="G40" s="226"/>
      <c r="H40" s="226"/>
      <c r="I40" s="226"/>
      <c r="J40" s="226"/>
      <c r="K40" s="226"/>
      <c r="L40" s="51">
        <f>COUNTIF(K14:K39,"&gt;=53")</f>
        <v>25</v>
      </c>
      <c r="M40" s="51"/>
      <c r="N40" s="62"/>
    </row>
    <row r="41" spans="1:14" ht="23.25" customHeight="1" x14ac:dyDescent="0.25">
      <c r="A41" s="226" t="s">
        <v>118</v>
      </c>
      <c r="B41" s="226"/>
      <c r="C41" s="226"/>
      <c r="D41" s="226"/>
      <c r="E41" s="226"/>
      <c r="F41" s="226"/>
      <c r="G41" s="226"/>
      <c r="H41" s="226"/>
      <c r="I41" s="226"/>
      <c r="J41" s="226"/>
      <c r="K41" s="226"/>
      <c r="L41" s="51">
        <f>L40/26*100</f>
        <v>96.15384615384616</v>
      </c>
      <c r="M41" s="51"/>
      <c r="N41" s="62"/>
    </row>
    <row r="42" spans="1:14" ht="25.5" customHeight="1" x14ac:dyDescent="0.25">
      <c r="A42" s="226" t="s">
        <v>119</v>
      </c>
      <c r="B42" s="226"/>
      <c r="C42" s="226"/>
      <c r="D42" s="226"/>
      <c r="E42" s="226"/>
      <c r="F42" s="226"/>
      <c r="G42" s="226"/>
      <c r="H42" s="226"/>
      <c r="I42" s="226"/>
      <c r="J42" s="226"/>
      <c r="K42" s="226"/>
      <c r="L42" s="51">
        <v>3</v>
      </c>
      <c r="M42" s="51"/>
      <c r="N42" s="62"/>
    </row>
    <row r="43" spans="1:14" ht="30.75" customHeight="1" x14ac:dyDescent="0.25">
      <c r="A43" s="226" t="s">
        <v>221</v>
      </c>
      <c r="B43" s="226"/>
      <c r="C43" s="226"/>
      <c r="D43" s="226"/>
      <c r="E43" s="226"/>
      <c r="F43" s="226"/>
      <c r="G43" s="226"/>
      <c r="H43" s="226"/>
      <c r="I43" s="226"/>
      <c r="J43" s="226"/>
      <c r="K43" s="226"/>
      <c r="L43" s="239" t="s">
        <v>220</v>
      </c>
      <c r="M43" s="240"/>
      <c r="N43" s="241"/>
    </row>
    <row r="44" spans="1:14" x14ac:dyDescent="0.25">
      <c r="C44" s="245"/>
      <c r="D44" s="245"/>
      <c r="E44" s="245"/>
      <c r="F44" s="245"/>
      <c r="G44" s="245"/>
      <c r="H44" s="245"/>
      <c r="I44" s="245"/>
      <c r="J44" s="245"/>
      <c r="K44" s="245"/>
    </row>
    <row r="46" spans="1:14" ht="22.5" customHeight="1" x14ac:dyDescent="0.25">
      <c r="I46" s="226" t="s">
        <v>129</v>
      </c>
      <c r="J46" s="226"/>
      <c r="K46" s="226"/>
      <c r="L46" s="226"/>
      <c r="M46" s="62"/>
    </row>
    <row r="49" spans="1:30" ht="15.75" x14ac:dyDescent="0.25">
      <c r="A49" s="220" t="s">
        <v>145</v>
      </c>
      <c r="B49" s="220"/>
      <c r="C49" s="220"/>
      <c r="D49" s="220"/>
      <c r="E49" s="220"/>
      <c r="F49" s="220"/>
      <c r="G49" s="220"/>
      <c r="H49" s="37"/>
      <c r="I49" s="37"/>
      <c r="J49" s="210" t="s">
        <v>138</v>
      </c>
      <c r="K49" s="210"/>
      <c r="L49" s="210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  <c r="AB49" s="210" t="s">
        <v>138</v>
      </c>
      <c r="AC49" s="210"/>
      <c r="AD49" s="210"/>
    </row>
    <row r="50" spans="1:30" x14ac:dyDescent="0.25">
      <c r="A50" s="211" t="s">
        <v>146</v>
      </c>
      <c r="B50" s="211"/>
      <c r="C50" s="211"/>
      <c r="D50" s="38"/>
      <c r="E50" s="38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2"/>
    </row>
  </sheetData>
  <mergeCells count="26">
    <mergeCell ref="A49:G49"/>
    <mergeCell ref="J49:L49"/>
    <mergeCell ref="AB49:AD49"/>
    <mergeCell ref="A50:C50"/>
    <mergeCell ref="I46:L46"/>
    <mergeCell ref="A1:N1"/>
    <mergeCell ref="A2:N2"/>
    <mergeCell ref="A3:M3"/>
    <mergeCell ref="A4:N4"/>
    <mergeCell ref="A5:N5"/>
    <mergeCell ref="A6:N6"/>
    <mergeCell ref="L43:N43"/>
    <mergeCell ref="J9:J13"/>
    <mergeCell ref="K9:K13"/>
    <mergeCell ref="L9:L13"/>
    <mergeCell ref="M9:M13"/>
    <mergeCell ref="N9:N13"/>
    <mergeCell ref="A8:L8"/>
    <mergeCell ref="M8:N8"/>
    <mergeCell ref="D9:I9"/>
    <mergeCell ref="D10:I10"/>
    <mergeCell ref="C44:K44"/>
    <mergeCell ref="A40:K40"/>
    <mergeCell ref="A41:K41"/>
    <mergeCell ref="A42:K42"/>
    <mergeCell ref="A43:K43"/>
  </mergeCells>
  <printOptions horizontalCentered="1"/>
  <pageMargins left="0.2" right="0.2" top="0.25" bottom="0.25" header="0.3" footer="0.3"/>
  <pageSetup paperSize="9" scale="95" orientation="landscape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50"/>
  <sheetViews>
    <sheetView topLeftCell="A3" zoomScaleNormal="100" workbookViewId="0">
      <selection activeCell="L41" sqref="L41"/>
    </sheetView>
  </sheetViews>
  <sheetFormatPr defaultRowHeight="15" x14ac:dyDescent="0.25"/>
  <cols>
    <col min="1" max="1" width="8" bestFit="1" customWidth="1"/>
    <col min="2" max="2" width="15.85546875" customWidth="1"/>
    <col min="3" max="3" width="23" customWidth="1"/>
    <col min="4" max="4" width="10.85546875" bestFit="1" customWidth="1"/>
    <col min="5" max="6" width="7.140625" customWidth="1"/>
    <col min="7" max="7" width="8.5703125" customWidth="1"/>
    <col min="8" max="8" width="10.85546875" customWidth="1"/>
    <col min="9" max="9" width="10.140625" customWidth="1"/>
    <col min="10" max="14" width="9.42578125" customWidth="1"/>
  </cols>
  <sheetData>
    <row r="1" spans="1:23" s="34" customFormat="1" ht="21.75" customHeight="1" x14ac:dyDescent="0.35">
      <c r="A1" s="202" t="s">
        <v>135</v>
      </c>
      <c r="B1" s="202"/>
      <c r="C1" s="202"/>
      <c r="D1" s="202"/>
      <c r="E1" s="202"/>
      <c r="F1" s="202"/>
      <c r="G1" s="202"/>
      <c r="H1" s="202"/>
      <c r="I1" s="202"/>
      <c r="J1" s="202"/>
      <c r="K1" s="202"/>
      <c r="L1" s="202"/>
      <c r="M1" s="202"/>
      <c r="N1" s="202"/>
    </row>
    <row r="2" spans="1:23" s="34" customFormat="1" ht="18" customHeight="1" x14ac:dyDescent="0.35">
      <c r="A2" s="203" t="s">
        <v>136</v>
      </c>
      <c r="B2" s="203"/>
      <c r="C2" s="203"/>
      <c r="D2" s="203"/>
      <c r="E2" s="203"/>
      <c r="F2" s="203"/>
      <c r="G2" s="203"/>
      <c r="H2" s="203"/>
      <c r="I2" s="203"/>
      <c r="J2" s="203"/>
      <c r="K2" s="203"/>
      <c r="L2" s="203"/>
      <c r="M2" s="203"/>
      <c r="N2" s="203"/>
    </row>
    <row r="3" spans="1:23" ht="12.75" customHeight="1" x14ac:dyDescent="0.25">
      <c r="A3" s="208"/>
      <c r="B3" s="208"/>
      <c r="C3" s="208"/>
      <c r="D3" s="208"/>
      <c r="E3" s="208"/>
      <c r="F3" s="208"/>
      <c r="G3" s="208"/>
      <c r="H3" s="208"/>
      <c r="I3" s="208"/>
      <c r="J3" s="208"/>
      <c r="K3" s="208"/>
      <c r="L3" s="208"/>
      <c r="M3" s="208"/>
    </row>
    <row r="4" spans="1:23" s="36" customFormat="1" ht="17.25" customHeight="1" x14ac:dyDescent="0.25">
      <c r="A4" s="204" t="s">
        <v>142</v>
      </c>
      <c r="B4" s="205"/>
      <c r="C4" s="205"/>
      <c r="D4" s="205"/>
      <c r="E4" s="205"/>
      <c r="F4" s="205"/>
      <c r="G4" s="205"/>
      <c r="H4" s="205"/>
      <c r="I4" s="205"/>
      <c r="J4" s="205"/>
      <c r="K4" s="205"/>
      <c r="L4" s="205"/>
      <c r="M4" s="205"/>
      <c r="N4" s="205"/>
    </row>
    <row r="5" spans="1:23" s="36" customFormat="1" ht="26.25" customHeight="1" x14ac:dyDescent="0.25">
      <c r="A5" s="206" t="s">
        <v>193</v>
      </c>
      <c r="B5" s="207"/>
      <c r="C5" s="207"/>
      <c r="D5" s="207"/>
      <c r="E5" s="207"/>
      <c r="F5" s="207"/>
      <c r="G5" s="207"/>
      <c r="H5" s="207"/>
      <c r="I5" s="207"/>
      <c r="J5" s="207"/>
      <c r="K5" s="207"/>
      <c r="L5" s="207"/>
      <c r="M5" s="207"/>
      <c r="N5" s="207"/>
    </row>
    <row r="6" spans="1:23" s="36" customFormat="1" ht="17.25" customHeight="1" x14ac:dyDescent="0.25">
      <c r="A6" s="204" t="s">
        <v>141</v>
      </c>
      <c r="B6" s="205"/>
      <c r="C6" s="205"/>
      <c r="D6" s="205"/>
      <c r="E6" s="205"/>
      <c r="F6" s="205"/>
      <c r="G6" s="205"/>
      <c r="H6" s="205"/>
      <c r="I6" s="205"/>
      <c r="J6" s="205"/>
      <c r="K6" s="205"/>
      <c r="L6" s="205"/>
      <c r="M6" s="205"/>
      <c r="N6" s="205"/>
    </row>
    <row r="8" spans="1:23" ht="28.5" customHeight="1" x14ac:dyDescent="0.25">
      <c r="A8" s="254" t="s">
        <v>83</v>
      </c>
      <c r="B8" s="254"/>
      <c r="C8" s="254"/>
      <c r="D8" s="254"/>
      <c r="E8" s="254"/>
      <c r="F8" s="254"/>
      <c r="G8" s="254"/>
      <c r="H8" s="254"/>
      <c r="I8" s="254"/>
      <c r="J8" s="254"/>
      <c r="K8" s="254"/>
      <c r="L8" s="254"/>
      <c r="M8" s="254" t="s">
        <v>84</v>
      </c>
      <c r="N8" s="254"/>
    </row>
    <row r="9" spans="1:23" s="25" customFormat="1" ht="27.75" customHeight="1" x14ac:dyDescent="0.25">
      <c r="A9" s="41" t="s">
        <v>124</v>
      </c>
      <c r="B9" s="41" t="s">
        <v>123</v>
      </c>
      <c r="C9" s="26" t="s">
        <v>85</v>
      </c>
      <c r="D9" s="249" t="s">
        <v>203</v>
      </c>
      <c r="E9" s="249"/>
      <c r="F9" s="249"/>
      <c r="G9" s="249"/>
      <c r="H9" s="249"/>
      <c r="I9" s="249"/>
      <c r="J9" s="242" t="s">
        <v>127</v>
      </c>
      <c r="K9" s="242" t="s">
        <v>128</v>
      </c>
      <c r="L9" s="242" t="s">
        <v>231</v>
      </c>
      <c r="M9" s="242" t="s">
        <v>130</v>
      </c>
      <c r="N9" s="242" t="s">
        <v>224</v>
      </c>
    </row>
    <row r="10" spans="1:23" s="25" customFormat="1" ht="51.75" customHeight="1" x14ac:dyDescent="0.25">
      <c r="A10" s="27"/>
      <c r="B10" s="27"/>
      <c r="C10" s="28" t="s">
        <v>86</v>
      </c>
      <c r="D10" s="255" t="s">
        <v>205</v>
      </c>
      <c r="E10" s="249"/>
      <c r="F10" s="249"/>
      <c r="G10" s="249"/>
      <c r="H10" s="249"/>
      <c r="I10" s="249"/>
      <c r="J10" s="243"/>
      <c r="K10" s="243"/>
      <c r="L10" s="243"/>
      <c r="M10" s="243"/>
      <c r="N10" s="243"/>
    </row>
    <row r="11" spans="1:23" ht="21.75" customHeight="1" x14ac:dyDescent="0.25">
      <c r="A11" s="17"/>
      <c r="B11" s="17"/>
      <c r="C11" s="29" t="s">
        <v>87</v>
      </c>
      <c r="D11" s="8" t="s">
        <v>73</v>
      </c>
      <c r="E11" s="8" t="s">
        <v>74</v>
      </c>
      <c r="F11" s="8" t="s">
        <v>75</v>
      </c>
      <c r="G11" s="8" t="s">
        <v>76</v>
      </c>
      <c r="H11" s="8" t="s">
        <v>77</v>
      </c>
      <c r="I11" s="8" t="s">
        <v>88</v>
      </c>
      <c r="J11" s="243"/>
      <c r="K11" s="243"/>
      <c r="L11" s="243"/>
      <c r="M11" s="243"/>
      <c r="N11" s="243"/>
    </row>
    <row r="12" spans="1:23" ht="25.5" x14ac:dyDescent="0.25">
      <c r="A12" s="17"/>
      <c r="B12" s="22"/>
      <c r="C12" s="28" t="s">
        <v>89</v>
      </c>
      <c r="D12" s="24" t="s">
        <v>125</v>
      </c>
      <c r="E12" s="24" t="s">
        <v>125</v>
      </c>
      <c r="F12" s="10" t="s">
        <v>209</v>
      </c>
      <c r="G12" s="24" t="s">
        <v>125</v>
      </c>
      <c r="H12" s="42" t="s">
        <v>215</v>
      </c>
      <c r="I12" s="18" t="s">
        <v>80</v>
      </c>
      <c r="J12" s="253"/>
      <c r="K12" s="253"/>
      <c r="L12" s="253"/>
      <c r="M12" s="253"/>
      <c r="N12" s="253"/>
      <c r="O12" s="43"/>
      <c r="P12" s="43"/>
      <c r="Q12" s="43"/>
      <c r="R12" s="43"/>
      <c r="S12" s="43"/>
      <c r="T12" s="43"/>
      <c r="U12" s="43"/>
      <c r="V12" s="43"/>
      <c r="W12" s="43"/>
    </row>
    <row r="13" spans="1:23" ht="27" customHeight="1" x14ac:dyDescent="0.25">
      <c r="A13" s="17"/>
      <c r="B13" s="17"/>
      <c r="C13" s="27" t="s">
        <v>90</v>
      </c>
      <c r="D13" s="24" t="s">
        <v>125</v>
      </c>
      <c r="E13" s="24" t="s">
        <v>125</v>
      </c>
      <c r="F13" s="8">
        <v>30</v>
      </c>
      <c r="G13" s="24" t="s">
        <v>125</v>
      </c>
      <c r="H13" s="8">
        <v>60</v>
      </c>
      <c r="I13" s="8">
        <v>2.5</v>
      </c>
      <c r="J13" s="244"/>
      <c r="K13" s="244"/>
      <c r="L13" s="244"/>
      <c r="M13" s="244"/>
      <c r="N13" s="244"/>
    </row>
    <row r="14" spans="1:23" ht="24" customHeight="1" x14ac:dyDescent="0.25">
      <c r="A14" s="15">
        <v>1</v>
      </c>
      <c r="B14" s="19" t="s">
        <v>6</v>
      </c>
      <c r="C14" s="13" t="s">
        <v>91</v>
      </c>
      <c r="D14" s="24" t="s">
        <v>125</v>
      </c>
      <c r="E14" s="24" t="s">
        <v>125</v>
      </c>
      <c r="F14" s="5">
        <v>15</v>
      </c>
      <c r="G14" s="24" t="s">
        <v>125</v>
      </c>
      <c r="H14" s="49">
        <v>55</v>
      </c>
      <c r="I14" s="6">
        <v>2.5</v>
      </c>
      <c r="J14" s="6">
        <v>92.5</v>
      </c>
      <c r="K14" s="80">
        <f>SUM(D14:I14)</f>
        <v>72.5</v>
      </c>
      <c r="L14" s="80" t="s">
        <v>217</v>
      </c>
      <c r="M14" s="78"/>
      <c r="N14" s="6"/>
    </row>
    <row r="15" spans="1:23" ht="24" customHeight="1" x14ac:dyDescent="0.25">
      <c r="A15" s="15">
        <v>2</v>
      </c>
      <c r="B15" s="19" t="s">
        <v>8</v>
      </c>
      <c r="C15" s="13" t="s">
        <v>92</v>
      </c>
      <c r="D15" s="24" t="s">
        <v>125</v>
      </c>
      <c r="E15" s="24" t="s">
        <v>125</v>
      </c>
      <c r="F15" s="5">
        <v>17</v>
      </c>
      <c r="G15" s="24" t="s">
        <v>125</v>
      </c>
      <c r="H15" s="49">
        <v>49.57</v>
      </c>
      <c r="I15" s="6">
        <v>2.5</v>
      </c>
      <c r="J15" s="6">
        <v>92.5</v>
      </c>
      <c r="K15" s="80">
        <f>SUM(D15:I15)</f>
        <v>69.069999999999993</v>
      </c>
      <c r="L15" s="49" t="s">
        <v>217</v>
      </c>
      <c r="M15" s="78"/>
      <c r="N15" s="6"/>
    </row>
    <row r="16" spans="1:23" ht="24" customHeight="1" x14ac:dyDescent="0.25">
      <c r="A16" s="15">
        <v>3</v>
      </c>
      <c r="B16" s="19" t="s">
        <v>10</v>
      </c>
      <c r="C16" s="13" t="s">
        <v>93</v>
      </c>
      <c r="D16" s="24" t="s">
        <v>125</v>
      </c>
      <c r="E16" s="24" t="s">
        <v>125</v>
      </c>
      <c r="F16" s="5">
        <v>23</v>
      </c>
      <c r="G16" s="24" t="s">
        <v>125</v>
      </c>
      <c r="H16" s="49">
        <v>60</v>
      </c>
      <c r="I16" s="6">
        <v>2.5</v>
      </c>
      <c r="J16" s="6">
        <v>92.5</v>
      </c>
      <c r="K16" s="80">
        <f t="shared" ref="K16:K39" si="0">SUM(D16:I16)</f>
        <v>85.5</v>
      </c>
      <c r="L16" s="49" t="s">
        <v>217</v>
      </c>
      <c r="M16" s="78"/>
      <c r="N16" s="6"/>
    </row>
    <row r="17" spans="1:14" ht="24" customHeight="1" x14ac:dyDescent="0.25">
      <c r="A17" s="15">
        <v>4</v>
      </c>
      <c r="B17" s="19" t="s">
        <v>12</v>
      </c>
      <c r="C17" s="13" t="s">
        <v>94</v>
      </c>
      <c r="D17" s="24" t="s">
        <v>125</v>
      </c>
      <c r="E17" s="24" t="s">
        <v>125</v>
      </c>
      <c r="F17" s="5" t="s">
        <v>207</v>
      </c>
      <c r="G17" s="24" t="s">
        <v>125</v>
      </c>
      <c r="H17" s="49">
        <v>54.8</v>
      </c>
      <c r="I17" s="6">
        <v>2.5</v>
      </c>
      <c r="J17" s="6">
        <v>92.5</v>
      </c>
      <c r="K17" s="80">
        <f t="shared" si="0"/>
        <v>57.3</v>
      </c>
      <c r="L17" s="49" t="s">
        <v>217</v>
      </c>
      <c r="M17" s="78"/>
      <c r="N17" s="6"/>
    </row>
    <row r="18" spans="1:14" ht="24" customHeight="1" x14ac:dyDescent="0.25">
      <c r="A18" s="15">
        <v>5</v>
      </c>
      <c r="B18" s="19" t="s">
        <v>14</v>
      </c>
      <c r="C18" s="13" t="s">
        <v>95</v>
      </c>
      <c r="D18" s="24" t="s">
        <v>125</v>
      </c>
      <c r="E18" s="24" t="s">
        <v>125</v>
      </c>
      <c r="F18" s="5">
        <v>18</v>
      </c>
      <c r="G18" s="24" t="s">
        <v>125</v>
      </c>
      <c r="H18" s="49">
        <v>50</v>
      </c>
      <c r="I18" s="6">
        <v>2.5</v>
      </c>
      <c r="J18" s="6">
        <v>92.5</v>
      </c>
      <c r="K18" s="80">
        <f t="shared" si="0"/>
        <v>70.5</v>
      </c>
      <c r="L18" s="49" t="s">
        <v>217</v>
      </c>
      <c r="M18" s="78"/>
      <c r="N18" s="6"/>
    </row>
    <row r="19" spans="1:14" ht="24" customHeight="1" x14ac:dyDescent="0.25">
      <c r="A19" s="15">
        <v>6</v>
      </c>
      <c r="B19" s="19" t="s">
        <v>16</v>
      </c>
      <c r="C19" s="13" t="s">
        <v>96</v>
      </c>
      <c r="D19" s="24" t="s">
        <v>125</v>
      </c>
      <c r="E19" s="24" t="s">
        <v>125</v>
      </c>
      <c r="F19" s="5">
        <v>16</v>
      </c>
      <c r="G19" s="24" t="s">
        <v>125</v>
      </c>
      <c r="H19" s="49">
        <v>55</v>
      </c>
      <c r="I19" s="6">
        <v>2.5</v>
      </c>
      <c r="J19" s="6">
        <v>92.5</v>
      </c>
      <c r="K19" s="80">
        <f t="shared" si="0"/>
        <v>73.5</v>
      </c>
      <c r="L19" s="49" t="s">
        <v>217</v>
      </c>
      <c r="M19" s="78"/>
      <c r="N19" s="6"/>
    </row>
    <row r="20" spans="1:14" ht="24" customHeight="1" x14ac:dyDescent="0.25">
      <c r="A20" s="15">
        <v>7</v>
      </c>
      <c r="B20" s="19" t="s">
        <v>18</v>
      </c>
      <c r="C20" s="13" t="s">
        <v>97</v>
      </c>
      <c r="D20" s="24" t="s">
        <v>125</v>
      </c>
      <c r="E20" s="24" t="s">
        <v>125</v>
      </c>
      <c r="F20" s="5">
        <v>14</v>
      </c>
      <c r="G20" s="24" t="s">
        <v>125</v>
      </c>
      <c r="H20" s="49">
        <v>55</v>
      </c>
      <c r="I20" s="6">
        <v>2.5</v>
      </c>
      <c r="J20" s="6">
        <v>92.5</v>
      </c>
      <c r="K20" s="80">
        <f t="shared" si="0"/>
        <v>71.5</v>
      </c>
      <c r="L20" s="49" t="s">
        <v>217</v>
      </c>
      <c r="M20" s="78"/>
      <c r="N20" s="6"/>
    </row>
    <row r="21" spans="1:14" ht="24" customHeight="1" x14ac:dyDescent="0.25">
      <c r="A21" s="15">
        <v>8</v>
      </c>
      <c r="B21" s="19" t="s">
        <v>20</v>
      </c>
      <c r="C21" s="13" t="s">
        <v>98</v>
      </c>
      <c r="D21" s="24" t="s">
        <v>125</v>
      </c>
      <c r="E21" s="24" t="s">
        <v>125</v>
      </c>
      <c r="F21" s="5">
        <v>21</v>
      </c>
      <c r="G21" s="24" t="s">
        <v>125</v>
      </c>
      <c r="H21" s="49">
        <v>55</v>
      </c>
      <c r="I21" s="6">
        <v>2.5</v>
      </c>
      <c r="J21" s="6">
        <v>92.5</v>
      </c>
      <c r="K21" s="80">
        <f t="shared" si="0"/>
        <v>78.5</v>
      </c>
      <c r="L21" s="49" t="s">
        <v>217</v>
      </c>
      <c r="M21" s="78"/>
      <c r="N21" s="6"/>
    </row>
    <row r="22" spans="1:14" ht="24" customHeight="1" x14ac:dyDescent="0.25">
      <c r="A22" s="15">
        <v>9</v>
      </c>
      <c r="B22" s="19" t="s">
        <v>22</v>
      </c>
      <c r="C22" s="13" t="s">
        <v>99</v>
      </c>
      <c r="D22" s="24" t="s">
        <v>125</v>
      </c>
      <c r="E22" s="24" t="s">
        <v>125</v>
      </c>
      <c r="F22" s="5">
        <v>21</v>
      </c>
      <c r="G22" s="24" t="s">
        <v>125</v>
      </c>
      <c r="H22" s="49">
        <v>55</v>
      </c>
      <c r="I22" s="6">
        <v>2.5</v>
      </c>
      <c r="J22" s="6">
        <v>92.5</v>
      </c>
      <c r="K22" s="80">
        <f t="shared" si="0"/>
        <v>78.5</v>
      </c>
      <c r="L22" s="49" t="s">
        <v>217</v>
      </c>
      <c r="M22" s="78"/>
      <c r="N22" s="6"/>
    </row>
    <row r="23" spans="1:14" ht="24" customHeight="1" x14ac:dyDescent="0.25">
      <c r="A23" s="15">
        <v>10</v>
      </c>
      <c r="B23" s="19" t="s">
        <v>24</v>
      </c>
      <c r="C23" s="20" t="s">
        <v>100</v>
      </c>
      <c r="D23" s="24" t="s">
        <v>125</v>
      </c>
      <c r="E23" s="24" t="s">
        <v>125</v>
      </c>
      <c r="F23" s="5">
        <v>14</v>
      </c>
      <c r="G23" s="24" t="s">
        <v>125</v>
      </c>
      <c r="H23" s="49">
        <v>55</v>
      </c>
      <c r="I23" s="6">
        <v>2.5</v>
      </c>
      <c r="J23" s="6">
        <v>92.5</v>
      </c>
      <c r="K23" s="80">
        <f t="shared" si="0"/>
        <v>71.5</v>
      </c>
      <c r="L23" s="49" t="s">
        <v>217</v>
      </c>
      <c r="M23" s="78"/>
      <c r="N23" s="6"/>
    </row>
    <row r="24" spans="1:14" ht="24" customHeight="1" x14ac:dyDescent="0.25">
      <c r="A24" s="15">
        <v>11</v>
      </c>
      <c r="B24" s="19" t="s">
        <v>26</v>
      </c>
      <c r="C24" s="13" t="s">
        <v>101</v>
      </c>
      <c r="D24" s="24" t="s">
        <v>125</v>
      </c>
      <c r="E24" s="24" t="s">
        <v>125</v>
      </c>
      <c r="F24" s="5">
        <v>12</v>
      </c>
      <c r="G24" s="24" t="s">
        <v>125</v>
      </c>
      <c r="H24" s="49">
        <v>55</v>
      </c>
      <c r="I24" s="6">
        <v>2.5</v>
      </c>
      <c r="J24" s="6">
        <v>92.5</v>
      </c>
      <c r="K24" s="80">
        <f t="shared" si="0"/>
        <v>69.5</v>
      </c>
      <c r="L24" s="49" t="s">
        <v>217</v>
      </c>
      <c r="M24" s="78"/>
      <c r="N24" s="6"/>
    </row>
    <row r="25" spans="1:14" ht="24" customHeight="1" x14ac:dyDescent="0.25">
      <c r="A25" s="63">
        <v>12</v>
      </c>
      <c r="B25" s="19" t="s">
        <v>28</v>
      </c>
      <c r="C25" s="13" t="s">
        <v>102</v>
      </c>
      <c r="D25" s="24" t="s">
        <v>125</v>
      </c>
      <c r="E25" s="24" t="s">
        <v>125</v>
      </c>
      <c r="F25" s="5">
        <v>14</v>
      </c>
      <c r="G25" s="24" t="s">
        <v>125</v>
      </c>
      <c r="H25" s="49">
        <v>55</v>
      </c>
      <c r="I25" s="6">
        <v>2.5</v>
      </c>
      <c r="J25" s="6">
        <v>92.5</v>
      </c>
      <c r="K25" s="80">
        <f t="shared" si="0"/>
        <v>71.5</v>
      </c>
      <c r="L25" s="49" t="s">
        <v>217</v>
      </c>
      <c r="M25" s="78"/>
      <c r="N25" s="6"/>
    </row>
    <row r="26" spans="1:14" ht="24" customHeight="1" x14ac:dyDescent="0.25">
      <c r="A26" s="63">
        <v>13</v>
      </c>
      <c r="B26" s="19" t="s">
        <v>30</v>
      </c>
      <c r="C26" s="13" t="s">
        <v>103</v>
      </c>
      <c r="D26" s="24" t="s">
        <v>125</v>
      </c>
      <c r="E26" s="24" t="s">
        <v>125</v>
      </c>
      <c r="F26" s="5">
        <v>25</v>
      </c>
      <c r="G26" s="24" t="s">
        <v>125</v>
      </c>
      <c r="H26" s="49">
        <v>44.8</v>
      </c>
      <c r="I26" s="6">
        <v>2.5</v>
      </c>
      <c r="J26" s="6">
        <v>92.5</v>
      </c>
      <c r="K26" s="80">
        <f t="shared" si="0"/>
        <v>72.3</v>
      </c>
      <c r="L26" s="49" t="s">
        <v>217</v>
      </c>
      <c r="M26" s="78"/>
      <c r="N26" s="6"/>
    </row>
    <row r="27" spans="1:14" ht="24" customHeight="1" x14ac:dyDescent="0.25">
      <c r="A27" s="63">
        <v>14</v>
      </c>
      <c r="B27" s="19" t="s">
        <v>32</v>
      </c>
      <c r="C27" s="13" t="s">
        <v>104</v>
      </c>
      <c r="D27" s="24" t="s">
        <v>125</v>
      </c>
      <c r="E27" s="24" t="s">
        <v>125</v>
      </c>
      <c r="F27" s="5">
        <v>24</v>
      </c>
      <c r="G27" s="24" t="s">
        <v>125</v>
      </c>
      <c r="H27" s="49">
        <v>40</v>
      </c>
      <c r="I27" s="6">
        <v>2.5</v>
      </c>
      <c r="J27" s="6">
        <v>92.5</v>
      </c>
      <c r="K27" s="80">
        <f t="shared" si="0"/>
        <v>66.5</v>
      </c>
      <c r="L27" s="49" t="s">
        <v>217</v>
      </c>
      <c r="M27" s="78"/>
      <c r="N27" s="6"/>
    </row>
    <row r="28" spans="1:14" ht="24" customHeight="1" x14ac:dyDescent="0.25">
      <c r="A28" s="63">
        <v>15</v>
      </c>
      <c r="B28" s="19" t="s">
        <v>34</v>
      </c>
      <c r="C28" s="13" t="s">
        <v>105</v>
      </c>
      <c r="D28" s="24" t="s">
        <v>125</v>
      </c>
      <c r="E28" s="24" t="s">
        <v>125</v>
      </c>
      <c r="F28" s="5">
        <v>14</v>
      </c>
      <c r="G28" s="24" t="s">
        <v>125</v>
      </c>
      <c r="H28" s="49">
        <v>55</v>
      </c>
      <c r="I28" s="6">
        <v>2.5</v>
      </c>
      <c r="J28" s="6">
        <v>92.5</v>
      </c>
      <c r="K28" s="80">
        <f t="shared" si="0"/>
        <v>71.5</v>
      </c>
      <c r="L28" s="49" t="s">
        <v>217</v>
      </c>
      <c r="M28" s="78"/>
      <c r="N28" s="6"/>
    </row>
    <row r="29" spans="1:14" ht="24" customHeight="1" x14ac:dyDescent="0.25">
      <c r="A29" s="63">
        <v>16</v>
      </c>
      <c r="B29" s="19" t="s">
        <v>36</v>
      </c>
      <c r="C29" s="13" t="s">
        <v>106</v>
      </c>
      <c r="D29" s="24" t="s">
        <v>125</v>
      </c>
      <c r="E29" s="24" t="s">
        <v>125</v>
      </c>
      <c r="F29" s="5">
        <v>20</v>
      </c>
      <c r="G29" s="24" t="s">
        <v>125</v>
      </c>
      <c r="H29" s="49">
        <v>60</v>
      </c>
      <c r="I29" s="6">
        <v>2.5</v>
      </c>
      <c r="J29" s="6">
        <v>92.5</v>
      </c>
      <c r="K29" s="80">
        <f t="shared" si="0"/>
        <v>82.5</v>
      </c>
      <c r="L29" s="49" t="s">
        <v>217</v>
      </c>
      <c r="M29" s="78"/>
      <c r="N29" s="6"/>
    </row>
    <row r="30" spans="1:14" ht="24" customHeight="1" x14ac:dyDescent="0.25">
      <c r="A30" s="63">
        <v>17</v>
      </c>
      <c r="B30" s="19" t="s">
        <v>38</v>
      </c>
      <c r="C30" s="13" t="s">
        <v>107</v>
      </c>
      <c r="D30" s="24" t="s">
        <v>125</v>
      </c>
      <c r="E30" s="24" t="s">
        <v>125</v>
      </c>
      <c r="F30" s="58">
        <v>21</v>
      </c>
      <c r="G30" s="24" t="s">
        <v>125</v>
      </c>
      <c r="H30" s="49">
        <v>60</v>
      </c>
      <c r="I30" s="6">
        <v>2.5</v>
      </c>
      <c r="J30" s="6">
        <v>92.5</v>
      </c>
      <c r="K30" s="80">
        <f t="shared" si="0"/>
        <v>83.5</v>
      </c>
      <c r="L30" s="49" t="s">
        <v>217</v>
      </c>
      <c r="M30" s="78"/>
      <c r="N30" s="6"/>
    </row>
    <row r="31" spans="1:14" ht="24" customHeight="1" x14ac:dyDescent="0.25">
      <c r="A31" s="63">
        <v>18</v>
      </c>
      <c r="B31" s="19" t="s">
        <v>40</v>
      </c>
      <c r="C31" s="13" t="s">
        <v>108</v>
      </c>
      <c r="D31" s="24" t="s">
        <v>125</v>
      </c>
      <c r="E31" s="24" t="s">
        <v>125</v>
      </c>
      <c r="F31" s="58">
        <v>10</v>
      </c>
      <c r="G31" s="24" t="s">
        <v>125</v>
      </c>
      <c r="H31" s="49">
        <v>50</v>
      </c>
      <c r="I31" s="6">
        <v>2.5</v>
      </c>
      <c r="J31" s="6">
        <v>92.5</v>
      </c>
      <c r="K31" s="80">
        <f t="shared" si="0"/>
        <v>62.5</v>
      </c>
      <c r="L31" s="49" t="s">
        <v>217</v>
      </c>
      <c r="M31" s="78"/>
      <c r="N31" s="6"/>
    </row>
    <row r="32" spans="1:14" ht="24" customHeight="1" x14ac:dyDescent="0.25">
      <c r="A32" s="63">
        <v>19</v>
      </c>
      <c r="B32" s="19" t="s">
        <v>42</v>
      </c>
      <c r="C32" s="13" t="s">
        <v>109</v>
      </c>
      <c r="D32" s="24" t="s">
        <v>125</v>
      </c>
      <c r="E32" s="24" t="s">
        <v>125</v>
      </c>
      <c r="F32" s="58">
        <v>24</v>
      </c>
      <c r="G32" s="24" t="s">
        <v>125</v>
      </c>
      <c r="H32" s="49">
        <v>50</v>
      </c>
      <c r="I32" s="6">
        <v>2.5</v>
      </c>
      <c r="J32" s="6">
        <v>92.5</v>
      </c>
      <c r="K32" s="80">
        <f t="shared" si="0"/>
        <v>76.5</v>
      </c>
      <c r="L32" s="49" t="s">
        <v>217</v>
      </c>
      <c r="M32" s="78"/>
      <c r="N32" s="6"/>
    </row>
    <row r="33" spans="1:14" ht="24" customHeight="1" x14ac:dyDescent="0.25">
      <c r="A33" s="63">
        <v>20</v>
      </c>
      <c r="B33" s="19" t="s">
        <v>44</v>
      </c>
      <c r="C33" s="13" t="s">
        <v>110</v>
      </c>
      <c r="D33" s="24" t="s">
        <v>125</v>
      </c>
      <c r="E33" s="24" t="s">
        <v>125</v>
      </c>
      <c r="F33" s="58">
        <v>18</v>
      </c>
      <c r="G33" s="24" t="s">
        <v>125</v>
      </c>
      <c r="H33" s="49">
        <v>59.7</v>
      </c>
      <c r="I33" s="6">
        <v>2.5</v>
      </c>
      <c r="J33" s="6">
        <v>92.5</v>
      </c>
      <c r="K33" s="80">
        <f t="shared" si="0"/>
        <v>80.2</v>
      </c>
      <c r="L33" s="49" t="s">
        <v>217</v>
      </c>
      <c r="M33" s="78"/>
      <c r="N33" s="6"/>
    </row>
    <row r="34" spans="1:14" ht="24" customHeight="1" x14ac:dyDescent="0.25">
      <c r="A34" s="63">
        <v>21</v>
      </c>
      <c r="B34" s="19" t="s">
        <v>46</v>
      </c>
      <c r="C34" s="20" t="s">
        <v>111</v>
      </c>
      <c r="D34" s="24" t="s">
        <v>125</v>
      </c>
      <c r="E34" s="24" t="s">
        <v>125</v>
      </c>
      <c r="F34" s="58">
        <v>18</v>
      </c>
      <c r="G34" s="24" t="s">
        <v>125</v>
      </c>
      <c r="H34" s="49">
        <v>60</v>
      </c>
      <c r="I34" s="6">
        <v>2.5</v>
      </c>
      <c r="J34" s="6">
        <v>92.5</v>
      </c>
      <c r="K34" s="80">
        <f t="shared" si="0"/>
        <v>80.5</v>
      </c>
      <c r="L34" s="49" t="s">
        <v>217</v>
      </c>
      <c r="M34" s="78"/>
      <c r="N34" s="6"/>
    </row>
    <row r="35" spans="1:14" ht="24" customHeight="1" x14ac:dyDescent="0.25">
      <c r="A35" s="63">
        <v>22</v>
      </c>
      <c r="B35" s="15" t="s">
        <v>48</v>
      </c>
      <c r="C35" s="16" t="s">
        <v>112</v>
      </c>
      <c r="D35" s="24" t="s">
        <v>125</v>
      </c>
      <c r="E35" s="24" t="s">
        <v>125</v>
      </c>
      <c r="F35" s="58">
        <v>11</v>
      </c>
      <c r="G35" s="24" t="s">
        <v>125</v>
      </c>
      <c r="H35" s="49">
        <v>55</v>
      </c>
      <c r="I35" s="6">
        <v>2.5</v>
      </c>
      <c r="J35" s="6">
        <v>92.5</v>
      </c>
      <c r="K35" s="80">
        <f t="shared" si="0"/>
        <v>68.5</v>
      </c>
      <c r="L35" s="49" t="s">
        <v>217</v>
      </c>
      <c r="M35" s="78"/>
      <c r="N35" s="6"/>
    </row>
    <row r="36" spans="1:14" ht="24" customHeight="1" x14ac:dyDescent="0.25">
      <c r="A36" s="63">
        <v>23</v>
      </c>
      <c r="B36" s="15" t="s">
        <v>50</v>
      </c>
      <c r="C36" s="21" t="s">
        <v>113</v>
      </c>
      <c r="D36" s="24" t="s">
        <v>125</v>
      </c>
      <c r="E36" s="24" t="s">
        <v>125</v>
      </c>
      <c r="F36" s="58">
        <v>12</v>
      </c>
      <c r="G36" s="24" t="s">
        <v>125</v>
      </c>
      <c r="H36" s="49">
        <v>50</v>
      </c>
      <c r="I36" s="6">
        <v>2.5</v>
      </c>
      <c r="J36" s="6">
        <v>92.5</v>
      </c>
      <c r="K36" s="80">
        <f t="shared" si="0"/>
        <v>64.5</v>
      </c>
      <c r="L36" s="49" t="s">
        <v>217</v>
      </c>
      <c r="M36" s="78"/>
      <c r="N36" s="6"/>
    </row>
    <row r="37" spans="1:14" ht="24" customHeight="1" x14ac:dyDescent="0.25">
      <c r="A37" s="66">
        <v>24</v>
      </c>
      <c r="B37" s="15" t="s">
        <v>52</v>
      </c>
      <c r="C37" s="21" t="s">
        <v>114</v>
      </c>
      <c r="D37" s="24" t="s">
        <v>125</v>
      </c>
      <c r="E37" s="24" t="s">
        <v>125</v>
      </c>
      <c r="F37" s="58">
        <v>10</v>
      </c>
      <c r="G37" s="24" t="s">
        <v>125</v>
      </c>
      <c r="H37" s="49">
        <v>50</v>
      </c>
      <c r="I37" s="6">
        <v>2.5</v>
      </c>
      <c r="J37" s="6">
        <v>92.5</v>
      </c>
      <c r="K37" s="80">
        <f t="shared" si="0"/>
        <v>62.5</v>
      </c>
      <c r="L37" s="49" t="s">
        <v>217</v>
      </c>
      <c r="M37" s="78"/>
      <c r="N37" s="6"/>
    </row>
    <row r="38" spans="1:14" ht="24" customHeight="1" x14ac:dyDescent="0.25">
      <c r="A38" s="66">
        <v>25</v>
      </c>
      <c r="B38" s="15" t="s">
        <v>54</v>
      </c>
      <c r="C38" s="21" t="s">
        <v>115</v>
      </c>
      <c r="D38" s="24" t="s">
        <v>125</v>
      </c>
      <c r="E38" s="24" t="s">
        <v>125</v>
      </c>
      <c r="F38" s="58">
        <v>13</v>
      </c>
      <c r="G38" s="24" t="s">
        <v>125</v>
      </c>
      <c r="H38" s="49">
        <v>50</v>
      </c>
      <c r="I38" s="6">
        <v>2.5</v>
      </c>
      <c r="J38" s="6">
        <v>92.5</v>
      </c>
      <c r="K38" s="80">
        <f t="shared" si="0"/>
        <v>65.5</v>
      </c>
      <c r="L38" s="49" t="s">
        <v>217</v>
      </c>
      <c r="M38" s="78"/>
      <c r="N38" s="6"/>
    </row>
    <row r="39" spans="1:14" ht="24" customHeight="1" x14ac:dyDescent="0.25">
      <c r="A39" s="66">
        <v>26</v>
      </c>
      <c r="B39" s="15" t="s">
        <v>56</v>
      </c>
      <c r="C39" s="21" t="s">
        <v>116</v>
      </c>
      <c r="D39" s="24" t="s">
        <v>125</v>
      </c>
      <c r="E39" s="24" t="s">
        <v>125</v>
      </c>
      <c r="F39" s="58">
        <v>14</v>
      </c>
      <c r="G39" s="24" t="s">
        <v>125</v>
      </c>
      <c r="H39" s="49">
        <v>50</v>
      </c>
      <c r="I39" s="6">
        <v>2.5</v>
      </c>
      <c r="J39" s="6">
        <v>92.5</v>
      </c>
      <c r="K39" s="80">
        <f t="shared" si="0"/>
        <v>66.5</v>
      </c>
      <c r="L39" s="6" t="s">
        <v>217</v>
      </c>
      <c r="M39" s="78"/>
      <c r="N39" s="6"/>
    </row>
    <row r="40" spans="1:14" ht="33" customHeight="1" x14ac:dyDescent="0.25">
      <c r="A40" s="226" t="s">
        <v>117</v>
      </c>
      <c r="B40" s="226"/>
      <c r="C40" s="226"/>
      <c r="D40" s="226"/>
      <c r="E40" s="226"/>
      <c r="F40" s="226"/>
      <c r="G40" s="226"/>
      <c r="H40" s="226"/>
      <c r="I40" s="226"/>
      <c r="J40" s="226"/>
      <c r="K40" s="226"/>
      <c r="L40" s="51">
        <f>COUNTIF(K14:K39,"&gt;=37")</f>
        <v>26</v>
      </c>
      <c r="M40" s="51"/>
      <c r="N40" s="62"/>
    </row>
    <row r="41" spans="1:14" ht="23.25" customHeight="1" x14ac:dyDescent="0.25">
      <c r="A41" s="226" t="s">
        <v>118</v>
      </c>
      <c r="B41" s="226"/>
      <c r="C41" s="226"/>
      <c r="D41" s="226"/>
      <c r="E41" s="226"/>
      <c r="F41" s="226"/>
      <c r="G41" s="226"/>
      <c r="H41" s="226"/>
      <c r="I41" s="226"/>
      <c r="J41" s="226"/>
      <c r="K41" s="226"/>
      <c r="L41" s="51">
        <f>L40/26*100</f>
        <v>100</v>
      </c>
      <c r="M41" s="51"/>
      <c r="N41" s="62"/>
    </row>
    <row r="42" spans="1:14" ht="25.5" customHeight="1" x14ac:dyDescent="0.25">
      <c r="A42" s="226" t="s">
        <v>119</v>
      </c>
      <c r="B42" s="226"/>
      <c r="C42" s="226"/>
      <c r="D42" s="226"/>
      <c r="E42" s="226"/>
      <c r="F42" s="226"/>
      <c r="G42" s="226"/>
      <c r="H42" s="226"/>
      <c r="I42" s="226"/>
      <c r="J42" s="226"/>
      <c r="K42" s="226"/>
      <c r="L42" s="51">
        <v>3</v>
      </c>
      <c r="M42" s="51"/>
      <c r="N42" s="62"/>
    </row>
    <row r="43" spans="1:14" ht="30.75" customHeight="1" x14ac:dyDescent="0.25">
      <c r="A43" s="226" t="s">
        <v>222</v>
      </c>
      <c r="B43" s="226"/>
      <c r="C43" s="226"/>
      <c r="D43" s="226"/>
      <c r="E43" s="226"/>
      <c r="F43" s="226"/>
      <c r="G43" s="226"/>
      <c r="H43" s="226"/>
      <c r="I43" s="226"/>
      <c r="J43" s="226"/>
      <c r="K43" s="226"/>
      <c r="L43" s="239" t="s">
        <v>219</v>
      </c>
      <c r="M43" s="240"/>
      <c r="N43" s="241"/>
    </row>
    <row r="44" spans="1:14" x14ac:dyDescent="0.25">
      <c r="C44" s="245"/>
      <c r="D44" s="245"/>
      <c r="E44" s="245"/>
      <c r="F44" s="245"/>
      <c r="G44" s="245"/>
      <c r="H44" s="245"/>
      <c r="I44" s="245"/>
      <c r="J44" s="245"/>
      <c r="K44" s="245"/>
    </row>
    <row r="46" spans="1:14" ht="22.5" customHeight="1" x14ac:dyDescent="0.25">
      <c r="I46" s="226" t="s">
        <v>129</v>
      </c>
      <c r="J46" s="226"/>
      <c r="K46" s="226"/>
      <c r="L46" s="226"/>
      <c r="M46" s="62"/>
    </row>
    <row r="49" spans="1:30" ht="15.75" x14ac:dyDescent="0.25">
      <c r="A49" s="220" t="s">
        <v>145</v>
      </c>
      <c r="B49" s="220"/>
      <c r="C49" s="220"/>
      <c r="D49" s="220"/>
      <c r="E49" s="220"/>
      <c r="F49" s="220"/>
      <c r="G49" s="220"/>
      <c r="H49" s="37"/>
      <c r="I49" s="37"/>
      <c r="J49" s="210" t="s">
        <v>138</v>
      </c>
      <c r="K49" s="210"/>
      <c r="L49" s="210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  <c r="AB49" s="210" t="s">
        <v>138</v>
      </c>
      <c r="AC49" s="210"/>
      <c r="AD49" s="210"/>
    </row>
    <row r="50" spans="1:30" x14ac:dyDescent="0.25">
      <c r="A50" s="211" t="s">
        <v>146</v>
      </c>
      <c r="B50" s="211"/>
      <c r="C50" s="211"/>
      <c r="D50" s="38"/>
      <c r="E50" s="38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2"/>
    </row>
  </sheetData>
  <mergeCells count="26">
    <mergeCell ref="A49:G49"/>
    <mergeCell ref="J49:L49"/>
    <mergeCell ref="AB49:AD49"/>
    <mergeCell ref="A50:C50"/>
    <mergeCell ref="I46:L46"/>
    <mergeCell ref="A1:N1"/>
    <mergeCell ref="A2:N2"/>
    <mergeCell ref="A3:M3"/>
    <mergeCell ref="A4:N4"/>
    <mergeCell ref="A5:N5"/>
    <mergeCell ref="A6:N6"/>
    <mergeCell ref="L43:N43"/>
    <mergeCell ref="J9:J13"/>
    <mergeCell ref="K9:K13"/>
    <mergeCell ref="L9:L13"/>
    <mergeCell ref="M9:M13"/>
    <mergeCell ref="N9:N13"/>
    <mergeCell ref="A8:L8"/>
    <mergeCell ref="M8:N8"/>
    <mergeCell ref="D9:I9"/>
    <mergeCell ref="D10:I10"/>
    <mergeCell ref="C44:K44"/>
    <mergeCell ref="A40:K40"/>
    <mergeCell ref="A41:K41"/>
    <mergeCell ref="A42:K42"/>
    <mergeCell ref="A43:K43"/>
  </mergeCells>
  <printOptions horizontalCentered="1"/>
  <pageMargins left="0.2" right="0.2" top="0.25" bottom="0.25" header="0.3" footer="0.3"/>
  <pageSetup paperSize="9" scale="95" orientation="landscape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50"/>
  <sheetViews>
    <sheetView topLeftCell="A7" zoomScaleNormal="100" workbookViewId="0">
      <selection activeCell="Q15" sqref="Q15"/>
    </sheetView>
  </sheetViews>
  <sheetFormatPr defaultRowHeight="15" x14ac:dyDescent="0.25"/>
  <cols>
    <col min="1" max="1" width="8" bestFit="1" customWidth="1"/>
    <col min="2" max="2" width="15.85546875" customWidth="1"/>
    <col min="3" max="3" width="23" customWidth="1"/>
    <col min="4" max="4" width="10.85546875" bestFit="1" customWidth="1"/>
    <col min="5" max="6" width="7.140625" customWidth="1"/>
    <col min="7" max="7" width="8.5703125" customWidth="1"/>
    <col min="8" max="8" width="10.85546875" customWidth="1"/>
    <col min="9" max="9" width="10.140625" customWidth="1"/>
    <col min="10" max="14" width="9.42578125" customWidth="1"/>
  </cols>
  <sheetData>
    <row r="1" spans="1:23" s="34" customFormat="1" ht="21.75" customHeight="1" x14ac:dyDescent="0.35">
      <c r="A1" s="202" t="s">
        <v>135</v>
      </c>
      <c r="B1" s="202"/>
      <c r="C1" s="202"/>
      <c r="D1" s="202"/>
      <c r="E1" s="202"/>
      <c r="F1" s="202"/>
      <c r="G1" s="202"/>
      <c r="H1" s="202"/>
      <c r="I1" s="202"/>
      <c r="J1" s="202"/>
      <c r="K1" s="202"/>
      <c r="L1" s="202"/>
      <c r="M1" s="202"/>
      <c r="N1" s="202"/>
    </row>
    <row r="2" spans="1:23" s="34" customFormat="1" ht="18" customHeight="1" x14ac:dyDescent="0.35">
      <c r="A2" s="203" t="s">
        <v>136</v>
      </c>
      <c r="B2" s="203"/>
      <c r="C2" s="203"/>
      <c r="D2" s="203"/>
      <c r="E2" s="203"/>
      <c r="F2" s="203"/>
      <c r="G2" s="203"/>
      <c r="H2" s="203"/>
      <c r="I2" s="203"/>
      <c r="J2" s="203"/>
      <c r="K2" s="203"/>
      <c r="L2" s="203"/>
      <c r="M2" s="203"/>
      <c r="N2" s="203"/>
    </row>
    <row r="3" spans="1:23" ht="12.75" customHeight="1" x14ac:dyDescent="0.25">
      <c r="A3" s="208"/>
      <c r="B3" s="208"/>
      <c r="C3" s="208"/>
      <c r="D3" s="208"/>
      <c r="E3" s="208"/>
      <c r="F3" s="208"/>
      <c r="G3" s="208"/>
      <c r="H3" s="208"/>
      <c r="I3" s="208"/>
      <c r="J3" s="208"/>
      <c r="K3" s="208"/>
      <c r="L3" s="208"/>
      <c r="M3" s="208"/>
    </row>
    <row r="4" spans="1:23" s="36" customFormat="1" ht="17.25" customHeight="1" x14ac:dyDescent="0.25">
      <c r="A4" s="204" t="s">
        <v>142</v>
      </c>
      <c r="B4" s="205"/>
      <c r="C4" s="205"/>
      <c r="D4" s="205"/>
      <c r="E4" s="205"/>
      <c r="F4" s="205"/>
      <c r="G4" s="205"/>
      <c r="H4" s="205"/>
      <c r="I4" s="205"/>
      <c r="J4" s="205"/>
      <c r="K4" s="205"/>
      <c r="L4" s="205"/>
      <c r="M4" s="205"/>
      <c r="N4" s="205"/>
    </row>
    <row r="5" spans="1:23" s="36" customFormat="1" ht="26.25" customHeight="1" x14ac:dyDescent="0.25">
      <c r="A5" s="206" t="s">
        <v>193</v>
      </c>
      <c r="B5" s="207"/>
      <c r="C5" s="207"/>
      <c r="D5" s="207"/>
      <c r="E5" s="207"/>
      <c r="F5" s="207"/>
      <c r="G5" s="207"/>
      <c r="H5" s="207"/>
      <c r="I5" s="207"/>
      <c r="J5" s="207"/>
      <c r="K5" s="207"/>
      <c r="L5" s="207"/>
      <c r="M5" s="207"/>
      <c r="N5" s="207"/>
    </row>
    <row r="6" spans="1:23" s="36" customFormat="1" ht="17.25" customHeight="1" x14ac:dyDescent="0.25">
      <c r="A6" s="204" t="s">
        <v>141</v>
      </c>
      <c r="B6" s="205"/>
      <c r="C6" s="205"/>
      <c r="D6" s="205"/>
      <c r="E6" s="205"/>
      <c r="F6" s="205"/>
      <c r="G6" s="205"/>
      <c r="H6" s="205"/>
      <c r="I6" s="205"/>
      <c r="J6" s="205"/>
      <c r="K6" s="205"/>
      <c r="L6" s="205"/>
      <c r="M6" s="205"/>
      <c r="N6" s="205"/>
    </row>
    <row r="8" spans="1:23" ht="28.5" customHeight="1" x14ac:dyDescent="0.25">
      <c r="A8" s="254" t="s">
        <v>83</v>
      </c>
      <c r="B8" s="254"/>
      <c r="C8" s="254"/>
      <c r="D8" s="254"/>
      <c r="E8" s="254"/>
      <c r="F8" s="254"/>
      <c r="G8" s="254"/>
      <c r="H8" s="254"/>
      <c r="I8" s="254"/>
      <c r="J8" s="254"/>
      <c r="K8" s="254"/>
      <c r="L8" s="254"/>
      <c r="M8" s="254" t="s">
        <v>84</v>
      </c>
      <c r="N8" s="254"/>
    </row>
    <row r="9" spans="1:23" s="25" customFormat="1" ht="27.75" customHeight="1" x14ac:dyDescent="0.25">
      <c r="A9" s="41" t="s">
        <v>124</v>
      </c>
      <c r="B9" s="41" t="s">
        <v>123</v>
      </c>
      <c r="C9" s="26" t="s">
        <v>85</v>
      </c>
      <c r="D9" s="249" t="s">
        <v>203</v>
      </c>
      <c r="E9" s="249"/>
      <c r="F9" s="249"/>
      <c r="G9" s="249"/>
      <c r="H9" s="249"/>
      <c r="I9" s="249"/>
      <c r="J9" s="242" t="s">
        <v>127</v>
      </c>
      <c r="K9" s="242" t="s">
        <v>128</v>
      </c>
      <c r="L9" s="242" t="s">
        <v>213</v>
      </c>
      <c r="M9" s="242" t="s">
        <v>130</v>
      </c>
      <c r="N9" s="242" t="s">
        <v>131</v>
      </c>
    </row>
    <row r="10" spans="1:23" s="25" customFormat="1" ht="51.75" customHeight="1" x14ac:dyDescent="0.25">
      <c r="A10" s="27"/>
      <c r="B10" s="27"/>
      <c r="C10" s="28" t="s">
        <v>86</v>
      </c>
      <c r="D10" s="255" t="s">
        <v>206</v>
      </c>
      <c r="E10" s="249"/>
      <c r="F10" s="249"/>
      <c r="G10" s="249"/>
      <c r="H10" s="249"/>
      <c r="I10" s="249"/>
      <c r="J10" s="243"/>
      <c r="K10" s="243"/>
      <c r="L10" s="243"/>
      <c r="M10" s="243"/>
      <c r="N10" s="243"/>
    </row>
    <row r="11" spans="1:23" ht="21.75" customHeight="1" x14ac:dyDescent="0.25">
      <c r="A11" s="17"/>
      <c r="B11" s="17"/>
      <c r="C11" s="29" t="s">
        <v>87</v>
      </c>
      <c r="D11" s="8" t="s">
        <v>73</v>
      </c>
      <c r="E11" s="8" t="s">
        <v>74</v>
      </c>
      <c r="F11" s="8" t="s">
        <v>75</v>
      </c>
      <c r="G11" s="8" t="s">
        <v>76</v>
      </c>
      <c r="H11" s="8" t="s">
        <v>77</v>
      </c>
      <c r="I11" s="8" t="s">
        <v>88</v>
      </c>
      <c r="J11" s="243"/>
      <c r="K11" s="243"/>
      <c r="L11" s="243"/>
      <c r="M11" s="243"/>
      <c r="N11" s="243"/>
    </row>
    <row r="12" spans="1:23" ht="25.5" x14ac:dyDescent="0.25">
      <c r="A12" s="17"/>
      <c r="B12" s="22"/>
      <c r="C12" s="28" t="s">
        <v>89</v>
      </c>
      <c r="D12" s="24" t="s">
        <v>125</v>
      </c>
      <c r="E12" s="24" t="s">
        <v>125</v>
      </c>
      <c r="F12" s="24" t="s">
        <v>125</v>
      </c>
      <c r="G12" s="24" t="s">
        <v>125</v>
      </c>
      <c r="H12" s="42" t="s">
        <v>215</v>
      </c>
      <c r="I12" s="18" t="s">
        <v>80</v>
      </c>
      <c r="J12" s="253"/>
      <c r="K12" s="253"/>
      <c r="L12" s="253"/>
      <c r="M12" s="253"/>
      <c r="N12" s="253"/>
      <c r="O12" s="43"/>
      <c r="P12" s="43"/>
      <c r="Q12" s="43"/>
      <c r="R12" s="43"/>
      <c r="S12" s="43"/>
      <c r="T12" s="43"/>
      <c r="U12" s="43"/>
      <c r="V12" s="43"/>
      <c r="W12" s="43"/>
    </row>
    <row r="13" spans="1:23" ht="27" customHeight="1" x14ac:dyDescent="0.25">
      <c r="A13" s="17"/>
      <c r="B13" s="17"/>
      <c r="C13" s="27" t="s">
        <v>90</v>
      </c>
      <c r="D13" s="24" t="s">
        <v>125</v>
      </c>
      <c r="E13" s="24" t="s">
        <v>125</v>
      </c>
      <c r="F13" s="24" t="s">
        <v>125</v>
      </c>
      <c r="G13" s="24" t="s">
        <v>125</v>
      </c>
      <c r="H13" s="8">
        <v>40</v>
      </c>
      <c r="I13" s="8">
        <v>2.5</v>
      </c>
      <c r="J13" s="244"/>
      <c r="K13" s="244"/>
      <c r="L13" s="244"/>
      <c r="M13" s="244"/>
      <c r="N13" s="244"/>
    </row>
    <row r="14" spans="1:23" ht="24" customHeight="1" x14ac:dyDescent="0.25">
      <c r="A14" s="63">
        <v>1</v>
      </c>
      <c r="B14" s="19" t="s">
        <v>6</v>
      </c>
      <c r="C14" s="13" t="s">
        <v>91</v>
      </c>
      <c r="D14" s="24" t="s">
        <v>125</v>
      </c>
      <c r="E14" s="24" t="s">
        <v>125</v>
      </c>
      <c r="F14" s="24" t="s">
        <v>125</v>
      </c>
      <c r="G14" s="24" t="s">
        <v>125</v>
      </c>
      <c r="H14" s="49">
        <v>40</v>
      </c>
      <c r="I14" s="6">
        <v>2.5</v>
      </c>
      <c r="J14" s="80">
        <v>42.5</v>
      </c>
      <c r="K14" s="80">
        <f>SUM(H14:I14)</f>
        <v>42.5</v>
      </c>
      <c r="L14" s="6" t="s">
        <v>217</v>
      </c>
      <c r="M14" s="78"/>
      <c r="N14" s="6"/>
    </row>
    <row r="15" spans="1:23" ht="24" customHeight="1" x14ac:dyDescent="0.25">
      <c r="A15" s="63">
        <v>2</v>
      </c>
      <c r="B15" s="19" t="s">
        <v>8</v>
      </c>
      <c r="C15" s="13" t="s">
        <v>92</v>
      </c>
      <c r="D15" s="24" t="s">
        <v>125</v>
      </c>
      <c r="E15" s="24" t="s">
        <v>125</v>
      </c>
      <c r="F15" s="24" t="s">
        <v>125</v>
      </c>
      <c r="G15" s="24" t="s">
        <v>125</v>
      </c>
      <c r="H15" s="49">
        <v>34.57</v>
      </c>
      <c r="I15" s="6">
        <v>2.5</v>
      </c>
      <c r="J15" s="80">
        <v>42.5</v>
      </c>
      <c r="K15" s="80">
        <f t="shared" ref="K15:K39" si="0">SUM(H15:I15)</f>
        <v>37.07</v>
      </c>
      <c r="L15" s="6" t="s">
        <v>217</v>
      </c>
      <c r="M15" s="78"/>
      <c r="N15" s="6"/>
    </row>
    <row r="16" spans="1:23" ht="24" customHeight="1" x14ac:dyDescent="0.25">
      <c r="A16" s="63">
        <v>3</v>
      </c>
      <c r="B16" s="19" t="s">
        <v>10</v>
      </c>
      <c r="C16" s="13" t="s">
        <v>93</v>
      </c>
      <c r="D16" s="24" t="s">
        <v>125</v>
      </c>
      <c r="E16" s="24" t="s">
        <v>125</v>
      </c>
      <c r="F16" s="24" t="s">
        <v>125</v>
      </c>
      <c r="G16" s="24" t="s">
        <v>125</v>
      </c>
      <c r="H16" s="49">
        <v>34</v>
      </c>
      <c r="I16" s="6">
        <v>2.5</v>
      </c>
      <c r="J16" s="80">
        <v>42.5</v>
      </c>
      <c r="K16" s="80">
        <f t="shared" si="0"/>
        <v>36.5</v>
      </c>
      <c r="L16" s="6" t="s">
        <v>217</v>
      </c>
      <c r="M16" s="78"/>
      <c r="N16" s="6"/>
    </row>
    <row r="17" spans="1:14" ht="24" customHeight="1" x14ac:dyDescent="0.25">
      <c r="A17" s="63">
        <v>4</v>
      </c>
      <c r="B17" s="19" t="s">
        <v>12</v>
      </c>
      <c r="C17" s="13" t="s">
        <v>94</v>
      </c>
      <c r="D17" s="24" t="s">
        <v>125</v>
      </c>
      <c r="E17" s="24" t="s">
        <v>125</v>
      </c>
      <c r="F17" s="24" t="s">
        <v>125</v>
      </c>
      <c r="G17" s="24" t="s">
        <v>125</v>
      </c>
      <c r="H17" s="49">
        <v>34.799999999999997</v>
      </c>
      <c r="I17" s="6">
        <v>2.5</v>
      </c>
      <c r="J17" s="80">
        <v>42.5</v>
      </c>
      <c r="K17" s="80">
        <f t="shared" si="0"/>
        <v>37.299999999999997</v>
      </c>
      <c r="L17" s="6" t="s">
        <v>217</v>
      </c>
      <c r="M17" s="78"/>
      <c r="N17" s="6"/>
    </row>
    <row r="18" spans="1:14" ht="24" customHeight="1" x14ac:dyDescent="0.25">
      <c r="A18" s="63">
        <v>5</v>
      </c>
      <c r="B18" s="19" t="s">
        <v>14</v>
      </c>
      <c r="C18" s="13" t="s">
        <v>95</v>
      </c>
      <c r="D18" s="24" t="s">
        <v>125</v>
      </c>
      <c r="E18" s="24" t="s">
        <v>125</v>
      </c>
      <c r="F18" s="24" t="s">
        <v>125</v>
      </c>
      <c r="G18" s="24" t="s">
        <v>125</v>
      </c>
      <c r="H18" s="49">
        <v>35</v>
      </c>
      <c r="I18" s="6">
        <v>2.5</v>
      </c>
      <c r="J18" s="80">
        <v>42.5</v>
      </c>
      <c r="K18" s="80">
        <f t="shared" si="0"/>
        <v>37.5</v>
      </c>
      <c r="L18" s="6" t="s">
        <v>217</v>
      </c>
      <c r="M18" s="78"/>
      <c r="N18" s="6"/>
    </row>
    <row r="19" spans="1:14" ht="24" customHeight="1" x14ac:dyDescent="0.25">
      <c r="A19" s="63">
        <v>6</v>
      </c>
      <c r="B19" s="19" t="s">
        <v>16</v>
      </c>
      <c r="C19" s="13" t="s">
        <v>96</v>
      </c>
      <c r="D19" s="24" t="s">
        <v>125</v>
      </c>
      <c r="E19" s="24" t="s">
        <v>125</v>
      </c>
      <c r="F19" s="24" t="s">
        <v>125</v>
      </c>
      <c r="G19" s="24" t="s">
        <v>125</v>
      </c>
      <c r="H19" s="49">
        <v>40</v>
      </c>
      <c r="I19" s="6">
        <v>2.5</v>
      </c>
      <c r="J19" s="80">
        <v>42.5</v>
      </c>
      <c r="K19" s="80">
        <f t="shared" si="0"/>
        <v>42.5</v>
      </c>
      <c r="L19" s="6" t="s">
        <v>217</v>
      </c>
      <c r="M19" s="78"/>
      <c r="N19" s="6"/>
    </row>
    <row r="20" spans="1:14" ht="24" customHeight="1" x14ac:dyDescent="0.25">
      <c r="A20" s="63">
        <v>7</v>
      </c>
      <c r="B20" s="19" t="s">
        <v>18</v>
      </c>
      <c r="C20" s="13" t="s">
        <v>97</v>
      </c>
      <c r="D20" s="24" t="s">
        <v>125</v>
      </c>
      <c r="E20" s="24" t="s">
        <v>125</v>
      </c>
      <c r="F20" s="24" t="s">
        <v>125</v>
      </c>
      <c r="G20" s="24" t="s">
        <v>125</v>
      </c>
      <c r="H20" s="49">
        <v>35</v>
      </c>
      <c r="I20" s="6">
        <v>2.5</v>
      </c>
      <c r="J20" s="80">
        <v>42.5</v>
      </c>
      <c r="K20" s="80">
        <f t="shared" si="0"/>
        <v>37.5</v>
      </c>
      <c r="L20" s="6" t="s">
        <v>217</v>
      </c>
      <c r="M20" s="78"/>
      <c r="N20" s="6"/>
    </row>
    <row r="21" spans="1:14" ht="24" customHeight="1" x14ac:dyDescent="0.25">
      <c r="A21" s="63">
        <v>8</v>
      </c>
      <c r="B21" s="19" t="s">
        <v>20</v>
      </c>
      <c r="C21" s="13" t="s">
        <v>98</v>
      </c>
      <c r="D21" s="24" t="s">
        <v>125</v>
      </c>
      <c r="E21" s="24" t="s">
        <v>125</v>
      </c>
      <c r="F21" s="24" t="s">
        <v>125</v>
      </c>
      <c r="G21" s="24" t="s">
        <v>125</v>
      </c>
      <c r="H21" s="49">
        <v>40</v>
      </c>
      <c r="I21" s="6">
        <v>2.5</v>
      </c>
      <c r="J21" s="80">
        <v>42.5</v>
      </c>
      <c r="K21" s="80">
        <f t="shared" si="0"/>
        <v>42.5</v>
      </c>
      <c r="L21" s="6" t="s">
        <v>217</v>
      </c>
      <c r="M21" s="78"/>
      <c r="N21" s="6"/>
    </row>
    <row r="22" spans="1:14" ht="24" customHeight="1" x14ac:dyDescent="0.25">
      <c r="A22" s="63">
        <v>9</v>
      </c>
      <c r="B22" s="19" t="s">
        <v>22</v>
      </c>
      <c r="C22" s="13" t="s">
        <v>99</v>
      </c>
      <c r="D22" s="24" t="s">
        <v>125</v>
      </c>
      <c r="E22" s="24" t="s">
        <v>125</v>
      </c>
      <c r="F22" s="24" t="s">
        <v>125</v>
      </c>
      <c r="G22" s="24" t="s">
        <v>125</v>
      </c>
      <c r="H22" s="49">
        <v>35</v>
      </c>
      <c r="I22" s="6">
        <v>2.5</v>
      </c>
      <c r="J22" s="80">
        <v>42.5</v>
      </c>
      <c r="K22" s="80">
        <f t="shared" si="0"/>
        <v>37.5</v>
      </c>
      <c r="L22" s="6" t="s">
        <v>217</v>
      </c>
      <c r="M22" s="78"/>
      <c r="N22" s="6"/>
    </row>
    <row r="23" spans="1:14" ht="24" customHeight="1" x14ac:dyDescent="0.25">
      <c r="A23" s="63">
        <v>10</v>
      </c>
      <c r="B23" s="19" t="s">
        <v>24</v>
      </c>
      <c r="C23" s="20" t="s">
        <v>100</v>
      </c>
      <c r="D23" s="24" t="s">
        <v>125</v>
      </c>
      <c r="E23" s="24" t="s">
        <v>125</v>
      </c>
      <c r="F23" s="24" t="s">
        <v>125</v>
      </c>
      <c r="G23" s="24" t="s">
        <v>125</v>
      </c>
      <c r="H23" s="49">
        <v>35</v>
      </c>
      <c r="I23" s="6">
        <v>2.5</v>
      </c>
      <c r="J23" s="80">
        <v>42.5</v>
      </c>
      <c r="K23" s="80">
        <f t="shared" si="0"/>
        <v>37.5</v>
      </c>
      <c r="L23" s="6" t="s">
        <v>217</v>
      </c>
      <c r="M23" s="78"/>
      <c r="N23" s="6"/>
    </row>
    <row r="24" spans="1:14" ht="24" customHeight="1" x14ac:dyDescent="0.25">
      <c r="A24" s="63">
        <v>11</v>
      </c>
      <c r="B24" s="19" t="s">
        <v>26</v>
      </c>
      <c r="C24" s="13" t="s">
        <v>101</v>
      </c>
      <c r="D24" s="24" t="s">
        <v>125</v>
      </c>
      <c r="E24" s="24" t="s">
        <v>125</v>
      </c>
      <c r="F24" s="24" t="s">
        <v>125</v>
      </c>
      <c r="G24" s="24" t="s">
        <v>125</v>
      </c>
      <c r="H24" s="49">
        <v>35</v>
      </c>
      <c r="I24" s="6">
        <v>2.5</v>
      </c>
      <c r="J24" s="80">
        <v>42.5</v>
      </c>
      <c r="K24" s="80">
        <f t="shared" si="0"/>
        <v>37.5</v>
      </c>
      <c r="L24" s="6" t="s">
        <v>217</v>
      </c>
      <c r="M24" s="78"/>
      <c r="N24" s="6"/>
    </row>
    <row r="25" spans="1:14" ht="24" customHeight="1" x14ac:dyDescent="0.25">
      <c r="A25" s="63">
        <v>12</v>
      </c>
      <c r="B25" s="19" t="s">
        <v>28</v>
      </c>
      <c r="C25" s="13" t="s">
        <v>102</v>
      </c>
      <c r="D25" s="24" t="s">
        <v>125</v>
      </c>
      <c r="E25" s="24" t="s">
        <v>125</v>
      </c>
      <c r="F25" s="24" t="s">
        <v>125</v>
      </c>
      <c r="G25" s="24" t="s">
        <v>125</v>
      </c>
      <c r="H25" s="49">
        <v>35</v>
      </c>
      <c r="I25" s="6">
        <v>2.5</v>
      </c>
      <c r="J25" s="80">
        <v>42.5</v>
      </c>
      <c r="K25" s="80">
        <f t="shared" si="0"/>
        <v>37.5</v>
      </c>
      <c r="L25" s="6" t="s">
        <v>217</v>
      </c>
      <c r="M25" s="78"/>
      <c r="N25" s="6"/>
    </row>
    <row r="26" spans="1:14" ht="24" customHeight="1" x14ac:dyDescent="0.25">
      <c r="A26" s="63">
        <v>13</v>
      </c>
      <c r="B26" s="19" t="s">
        <v>30</v>
      </c>
      <c r="C26" s="13" t="s">
        <v>103</v>
      </c>
      <c r="D26" s="24" t="s">
        <v>125</v>
      </c>
      <c r="E26" s="24" t="s">
        <v>125</v>
      </c>
      <c r="F26" s="24" t="s">
        <v>125</v>
      </c>
      <c r="G26" s="24" t="s">
        <v>125</v>
      </c>
      <c r="H26" s="49">
        <v>29.8</v>
      </c>
      <c r="I26" s="6">
        <v>2.5</v>
      </c>
      <c r="J26" s="80">
        <v>42.5</v>
      </c>
      <c r="K26" s="80">
        <f t="shared" si="0"/>
        <v>32.299999999999997</v>
      </c>
      <c r="L26" s="6" t="s">
        <v>217</v>
      </c>
      <c r="M26" s="78"/>
      <c r="N26" s="6"/>
    </row>
    <row r="27" spans="1:14" ht="24" customHeight="1" x14ac:dyDescent="0.25">
      <c r="A27" s="63">
        <v>14</v>
      </c>
      <c r="B27" s="19" t="s">
        <v>32</v>
      </c>
      <c r="C27" s="13" t="s">
        <v>104</v>
      </c>
      <c r="D27" s="24" t="s">
        <v>125</v>
      </c>
      <c r="E27" s="24" t="s">
        <v>125</v>
      </c>
      <c r="F27" s="24" t="s">
        <v>125</v>
      </c>
      <c r="G27" s="24" t="s">
        <v>125</v>
      </c>
      <c r="H27" s="49">
        <v>35</v>
      </c>
      <c r="I27" s="6">
        <v>2.5</v>
      </c>
      <c r="J27" s="80">
        <v>42.5</v>
      </c>
      <c r="K27" s="80">
        <f t="shared" si="0"/>
        <v>37.5</v>
      </c>
      <c r="L27" s="6" t="s">
        <v>217</v>
      </c>
      <c r="M27" s="78"/>
      <c r="N27" s="6"/>
    </row>
    <row r="28" spans="1:14" ht="24" customHeight="1" x14ac:dyDescent="0.25">
      <c r="A28" s="63">
        <v>15</v>
      </c>
      <c r="B28" s="19" t="s">
        <v>34</v>
      </c>
      <c r="C28" s="13" t="s">
        <v>105</v>
      </c>
      <c r="D28" s="24" t="s">
        <v>125</v>
      </c>
      <c r="E28" s="24" t="s">
        <v>125</v>
      </c>
      <c r="F28" s="24" t="s">
        <v>125</v>
      </c>
      <c r="G28" s="24" t="s">
        <v>125</v>
      </c>
      <c r="H28" s="49">
        <v>35</v>
      </c>
      <c r="I28" s="6">
        <v>2.5</v>
      </c>
      <c r="J28" s="80">
        <v>42.5</v>
      </c>
      <c r="K28" s="80">
        <f t="shared" si="0"/>
        <v>37.5</v>
      </c>
      <c r="L28" s="6" t="s">
        <v>217</v>
      </c>
      <c r="M28" s="78"/>
      <c r="N28" s="6"/>
    </row>
    <row r="29" spans="1:14" ht="24" customHeight="1" x14ac:dyDescent="0.25">
      <c r="A29" s="63">
        <v>16</v>
      </c>
      <c r="B29" s="19" t="s">
        <v>36</v>
      </c>
      <c r="C29" s="13" t="s">
        <v>106</v>
      </c>
      <c r="D29" s="24" t="s">
        <v>125</v>
      </c>
      <c r="E29" s="24" t="s">
        <v>125</v>
      </c>
      <c r="F29" s="24" t="s">
        <v>125</v>
      </c>
      <c r="G29" s="24" t="s">
        <v>125</v>
      </c>
      <c r="H29" s="49">
        <v>40</v>
      </c>
      <c r="I29" s="6">
        <v>2.5</v>
      </c>
      <c r="J29" s="80">
        <v>42.5</v>
      </c>
      <c r="K29" s="80">
        <f t="shared" si="0"/>
        <v>42.5</v>
      </c>
      <c r="L29" s="6" t="s">
        <v>217</v>
      </c>
      <c r="M29" s="78"/>
      <c r="N29" s="6"/>
    </row>
    <row r="30" spans="1:14" ht="24" customHeight="1" x14ac:dyDescent="0.25">
      <c r="A30" s="63">
        <v>17</v>
      </c>
      <c r="B30" s="19" t="s">
        <v>38</v>
      </c>
      <c r="C30" s="13" t="s">
        <v>107</v>
      </c>
      <c r="D30" s="24" t="s">
        <v>125</v>
      </c>
      <c r="E30" s="24" t="s">
        <v>125</v>
      </c>
      <c r="F30" s="24" t="s">
        <v>125</v>
      </c>
      <c r="G30" s="24" t="s">
        <v>125</v>
      </c>
      <c r="H30" s="49">
        <v>35</v>
      </c>
      <c r="I30" s="6">
        <v>2.5</v>
      </c>
      <c r="J30" s="80">
        <v>42.5</v>
      </c>
      <c r="K30" s="80">
        <f t="shared" si="0"/>
        <v>37.5</v>
      </c>
      <c r="L30" s="6" t="s">
        <v>217</v>
      </c>
      <c r="M30" s="78"/>
      <c r="N30" s="6"/>
    </row>
    <row r="31" spans="1:14" ht="24" customHeight="1" x14ac:dyDescent="0.25">
      <c r="A31" s="63">
        <v>18</v>
      </c>
      <c r="B31" s="19" t="s">
        <v>40</v>
      </c>
      <c r="C31" s="13" t="s">
        <v>108</v>
      </c>
      <c r="D31" s="24" t="s">
        <v>125</v>
      </c>
      <c r="E31" s="24" t="s">
        <v>125</v>
      </c>
      <c r="F31" s="24" t="s">
        <v>125</v>
      </c>
      <c r="G31" s="24" t="s">
        <v>125</v>
      </c>
      <c r="H31" s="49">
        <v>35</v>
      </c>
      <c r="I31" s="6">
        <v>2.5</v>
      </c>
      <c r="J31" s="80">
        <v>42.5</v>
      </c>
      <c r="K31" s="80">
        <f t="shared" si="0"/>
        <v>37.5</v>
      </c>
      <c r="L31" s="6" t="s">
        <v>217</v>
      </c>
      <c r="M31" s="78"/>
      <c r="N31" s="6"/>
    </row>
    <row r="32" spans="1:14" ht="24" customHeight="1" x14ac:dyDescent="0.25">
      <c r="A32" s="63">
        <v>19</v>
      </c>
      <c r="B32" s="19" t="s">
        <v>42</v>
      </c>
      <c r="C32" s="13" t="s">
        <v>109</v>
      </c>
      <c r="D32" s="24" t="s">
        <v>125</v>
      </c>
      <c r="E32" s="24" t="s">
        <v>125</v>
      </c>
      <c r="F32" s="24" t="s">
        <v>125</v>
      </c>
      <c r="G32" s="24" t="s">
        <v>125</v>
      </c>
      <c r="H32" s="49">
        <v>30</v>
      </c>
      <c r="I32" s="6">
        <v>2.5</v>
      </c>
      <c r="J32" s="80">
        <v>42.5</v>
      </c>
      <c r="K32" s="80">
        <f t="shared" si="0"/>
        <v>32.5</v>
      </c>
      <c r="L32" s="6" t="s">
        <v>217</v>
      </c>
      <c r="M32" s="78"/>
      <c r="N32" s="6"/>
    </row>
    <row r="33" spans="1:14" ht="24" customHeight="1" x14ac:dyDescent="0.25">
      <c r="A33" s="63">
        <v>20</v>
      </c>
      <c r="B33" s="19" t="s">
        <v>44</v>
      </c>
      <c r="C33" s="13" t="s">
        <v>110</v>
      </c>
      <c r="D33" s="24" t="s">
        <v>125</v>
      </c>
      <c r="E33" s="24" t="s">
        <v>125</v>
      </c>
      <c r="F33" s="24" t="s">
        <v>125</v>
      </c>
      <c r="G33" s="24" t="s">
        <v>125</v>
      </c>
      <c r="H33" s="49">
        <v>39.700000000000003</v>
      </c>
      <c r="I33" s="6">
        <v>2.5</v>
      </c>
      <c r="J33" s="80">
        <v>42.5</v>
      </c>
      <c r="K33" s="80">
        <f t="shared" si="0"/>
        <v>42.2</v>
      </c>
      <c r="L33" s="6" t="s">
        <v>217</v>
      </c>
      <c r="M33" s="78"/>
      <c r="N33" s="6"/>
    </row>
    <row r="34" spans="1:14" ht="24" customHeight="1" x14ac:dyDescent="0.25">
      <c r="A34" s="63">
        <v>21</v>
      </c>
      <c r="B34" s="19" t="s">
        <v>46</v>
      </c>
      <c r="C34" s="20" t="s">
        <v>111</v>
      </c>
      <c r="D34" s="24" t="s">
        <v>125</v>
      </c>
      <c r="E34" s="24" t="s">
        <v>125</v>
      </c>
      <c r="F34" s="24" t="s">
        <v>125</v>
      </c>
      <c r="G34" s="24" t="s">
        <v>125</v>
      </c>
      <c r="H34" s="49">
        <v>40</v>
      </c>
      <c r="I34" s="6">
        <v>2.5</v>
      </c>
      <c r="J34" s="80">
        <v>42.5</v>
      </c>
      <c r="K34" s="80">
        <f t="shared" si="0"/>
        <v>42.5</v>
      </c>
      <c r="L34" s="6" t="s">
        <v>217</v>
      </c>
      <c r="M34" s="78"/>
      <c r="N34" s="6"/>
    </row>
    <row r="35" spans="1:14" ht="24" customHeight="1" x14ac:dyDescent="0.25">
      <c r="A35" s="63">
        <v>22</v>
      </c>
      <c r="B35" s="63" t="s">
        <v>48</v>
      </c>
      <c r="C35" s="16" t="s">
        <v>112</v>
      </c>
      <c r="D35" s="24" t="s">
        <v>125</v>
      </c>
      <c r="E35" s="24" t="s">
        <v>125</v>
      </c>
      <c r="F35" s="24" t="s">
        <v>125</v>
      </c>
      <c r="G35" s="24" t="s">
        <v>125</v>
      </c>
      <c r="H35" s="49">
        <v>35</v>
      </c>
      <c r="I35" s="6">
        <v>2.5</v>
      </c>
      <c r="J35" s="80">
        <v>42.5</v>
      </c>
      <c r="K35" s="80">
        <f t="shared" si="0"/>
        <v>37.5</v>
      </c>
      <c r="L35" s="6" t="s">
        <v>217</v>
      </c>
      <c r="M35" s="78"/>
      <c r="N35" s="6"/>
    </row>
    <row r="36" spans="1:14" ht="24" customHeight="1" x14ac:dyDescent="0.25">
      <c r="A36" s="63">
        <v>23</v>
      </c>
      <c r="B36" s="63" t="s">
        <v>50</v>
      </c>
      <c r="C36" s="21" t="s">
        <v>113</v>
      </c>
      <c r="D36" s="24" t="s">
        <v>125</v>
      </c>
      <c r="E36" s="24" t="s">
        <v>125</v>
      </c>
      <c r="F36" s="24" t="s">
        <v>125</v>
      </c>
      <c r="G36" s="24" t="s">
        <v>125</v>
      </c>
      <c r="H36" s="49">
        <v>35</v>
      </c>
      <c r="I36" s="6">
        <v>2.5</v>
      </c>
      <c r="J36" s="80">
        <v>42.5</v>
      </c>
      <c r="K36" s="80">
        <f t="shared" si="0"/>
        <v>37.5</v>
      </c>
      <c r="L36" s="6" t="s">
        <v>217</v>
      </c>
      <c r="M36" s="78"/>
      <c r="N36" s="6"/>
    </row>
    <row r="37" spans="1:14" ht="24" customHeight="1" x14ac:dyDescent="0.25">
      <c r="A37" s="66">
        <v>24</v>
      </c>
      <c r="B37" s="63" t="s">
        <v>52</v>
      </c>
      <c r="C37" s="21" t="s">
        <v>114</v>
      </c>
      <c r="D37" s="24" t="s">
        <v>125</v>
      </c>
      <c r="E37" s="24" t="s">
        <v>125</v>
      </c>
      <c r="F37" s="24" t="s">
        <v>125</v>
      </c>
      <c r="G37" s="24" t="s">
        <v>125</v>
      </c>
      <c r="H37" s="49">
        <v>40</v>
      </c>
      <c r="I37" s="6">
        <v>2.5</v>
      </c>
      <c r="J37" s="80">
        <v>42.5</v>
      </c>
      <c r="K37" s="80">
        <f t="shared" si="0"/>
        <v>42.5</v>
      </c>
      <c r="L37" s="6" t="s">
        <v>217</v>
      </c>
      <c r="M37" s="78"/>
      <c r="N37" s="6"/>
    </row>
    <row r="38" spans="1:14" ht="24" customHeight="1" x14ac:dyDescent="0.25">
      <c r="A38" s="66">
        <v>25</v>
      </c>
      <c r="B38" s="63" t="s">
        <v>54</v>
      </c>
      <c r="C38" s="21" t="s">
        <v>115</v>
      </c>
      <c r="D38" s="24" t="s">
        <v>125</v>
      </c>
      <c r="E38" s="24" t="s">
        <v>125</v>
      </c>
      <c r="F38" s="24" t="s">
        <v>125</v>
      </c>
      <c r="G38" s="24" t="s">
        <v>125</v>
      </c>
      <c r="H38" s="49">
        <v>35</v>
      </c>
      <c r="I38" s="6">
        <v>2.5</v>
      </c>
      <c r="J38" s="80">
        <v>42.5</v>
      </c>
      <c r="K38" s="80">
        <f t="shared" si="0"/>
        <v>37.5</v>
      </c>
      <c r="L38" s="6" t="s">
        <v>217</v>
      </c>
      <c r="M38" s="78"/>
      <c r="N38" s="6"/>
    </row>
    <row r="39" spans="1:14" ht="24" customHeight="1" x14ac:dyDescent="0.25">
      <c r="A39" s="66">
        <v>26</v>
      </c>
      <c r="B39" s="63" t="s">
        <v>56</v>
      </c>
      <c r="C39" s="21" t="s">
        <v>116</v>
      </c>
      <c r="D39" s="24" t="s">
        <v>125</v>
      </c>
      <c r="E39" s="24" t="s">
        <v>125</v>
      </c>
      <c r="F39" s="24" t="s">
        <v>125</v>
      </c>
      <c r="G39" s="24" t="s">
        <v>125</v>
      </c>
      <c r="H39" s="49">
        <v>35</v>
      </c>
      <c r="I39" s="6">
        <v>2.5</v>
      </c>
      <c r="J39" s="80">
        <v>42.5</v>
      </c>
      <c r="K39" s="80">
        <f t="shared" si="0"/>
        <v>37.5</v>
      </c>
      <c r="L39" s="6" t="s">
        <v>217</v>
      </c>
      <c r="M39" s="78"/>
      <c r="N39" s="6"/>
    </row>
    <row r="40" spans="1:14" ht="33" customHeight="1" x14ac:dyDescent="0.25">
      <c r="A40" s="226" t="s">
        <v>117</v>
      </c>
      <c r="B40" s="226"/>
      <c r="C40" s="226"/>
      <c r="D40" s="226"/>
      <c r="E40" s="226"/>
      <c r="F40" s="226"/>
      <c r="G40" s="226"/>
      <c r="H40" s="226"/>
      <c r="I40" s="226"/>
      <c r="J40" s="226"/>
      <c r="K40" s="226"/>
      <c r="L40" s="64">
        <f>COUNTIF(K14:K39,"&gt;=17")</f>
        <v>26</v>
      </c>
      <c r="M40" s="64"/>
      <c r="N40" s="64">
        <f>COUNTIF(N14:N39,"&gt;=Y")</f>
        <v>0</v>
      </c>
    </row>
    <row r="41" spans="1:14" ht="23.25" customHeight="1" x14ac:dyDescent="0.25">
      <c r="A41" s="226" t="s">
        <v>118</v>
      </c>
      <c r="B41" s="226"/>
      <c r="C41" s="226"/>
      <c r="D41" s="226"/>
      <c r="E41" s="226"/>
      <c r="F41" s="226"/>
      <c r="G41" s="226"/>
      <c r="H41" s="226"/>
      <c r="I41" s="226"/>
      <c r="J41" s="226"/>
      <c r="K41" s="226"/>
      <c r="L41" s="64">
        <f>L40/26*100</f>
        <v>100</v>
      </c>
      <c r="M41" s="64"/>
      <c r="N41" s="64">
        <f>N40/28*100</f>
        <v>0</v>
      </c>
    </row>
    <row r="42" spans="1:14" ht="25.5" customHeight="1" x14ac:dyDescent="0.25">
      <c r="A42" s="226" t="s">
        <v>119</v>
      </c>
      <c r="B42" s="226"/>
      <c r="C42" s="226"/>
      <c r="D42" s="226"/>
      <c r="E42" s="226"/>
      <c r="F42" s="226"/>
      <c r="G42" s="226"/>
      <c r="H42" s="226"/>
      <c r="I42" s="226"/>
      <c r="J42" s="226"/>
      <c r="K42" s="226"/>
      <c r="L42" s="64">
        <v>3</v>
      </c>
      <c r="M42" s="64"/>
      <c r="N42" s="64">
        <v>0</v>
      </c>
    </row>
    <row r="43" spans="1:14" ht="30.75" customHeight="1" x14ac:dyDescent="0.25">
      <c r="A43" s="226" t="s">
        <v>223</v>
      </c>
      <c r="B43" s="226"/>
      <c r="C43" s="226"/>
      <c r="D43" s="226"/>
      <c r="E43" s="226"/>
      <c r="F43" s="226"/>
      <c r="G43" s="226"/>
      <c r="H43" s="226"/>
      <c r="I43" s="226"/>
      <c r="J43" s="226"/>
      <c r="K43" s="226"/>
      <c r="L43" s="239" t="s">
        <v>220</v>
      </c>
      <c r="M43" s="240"/>
      <c r="N43" s="241"/>
    </row>
    <row r="44" spans="1:14" x14ac:dyDescent="0.25">
      <c r="C44" s="245"/>
      <c r="D44" s="245"/>
      <c r="E44" s="245"/>
      <c r="F44" s="245"/>
      <c r="G44" s="245"/>
      <c r="H44" s="245"/>
      <c r="I44" s="245"/>
      <c r="J44" s="245"/>
      <c r="K44" s="245"/>
    </row>
    <row r="46" spans="1:14" ht="21.75" customHeight="1" x14ac:dyDescent="0.25">
      <c r="I46" s="226" t="s">
        <v>129</v>
      </c>
      <c r="J46" s="226"/>
      <c r="K46" s="226"/>
      <c r="L46" s="226"/>
      <c r="M46" s="64"/>
    </row>
    <row r="49" spans="1:30" ht="15.75" x14ac:dyDescent="0.25">
      <c r="A49" s="220" t="s">
        <v>145</v>
      </c>
      <c r="B49" s="220"/>
      <c r="C49" s="220"/>
      <c r="D49" s="220"/>
      <c r="E49" s="220"/>
      <c r="F49" s="220"/>
      <c r="G49" s="220"/>
      <c r="H49" s="37"/>
      <c r="I49" s="37"/>
      <c r="J49" s="210" t="s">
        <v>138</v>
      </c>
      <c r="K49" s="210"/>
      <c r="L49" s="210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  <c r="AB49" s="210" t="s">
        <v>138</v>
      </c>
      <c r="AC49" s="210"/>
      <c r="AD49" s="210"/>
    </row>
    <row r="50" spans="1:30" x14ac:dyDescent="0.25">
      <c r="A50" s="211" t="s">
        <v>146</v>
      </c>
      <c r="B50" s="211"/>
      <c r="C50" s="211"/>
      <c r="D50" s="38"/>
      <c r="E50" s="38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2"/>
    </row>
  </sheetData>
  <mergeCells count="26">
    <mergeCell ref="I46:L46"/>
    <mergeCell ref="A49:G49"/>
    <mergeCell ref="J49:L49"/>
    <mergeCell ref="AB49:AD49"/>
    <mergeCell ref="A50:C50"/>
    <mergeCell ref="C44:K44"/>
    <mergeCell ref="A8:L8"/>
    <mergeCell ref="M8:N8"/>
    <mergeCell ref="D9:I9"/>
    <mergeCell ref="J9:J13"/>
    <mergeCell ref="K9:K13"/>
    <mergeCell ref="L9:L13"/>
    <mergeCell ref="M9:M13"/>
    <mergeCell ref="N9:N13"/>
    <mergeCell ref="D10:I10"/>
    <mergeCell ref="A40:K40"/>
    <mergeCell ref="A41:K41"/>
    <mergeCell ref="A42:K42"/>
    <mergeCell ref="A43:K43"/>
    <mergeCell ref="L43:N43"/>
    <mergeCell ref="A6:N6"/>
    <mergeCell ref="A1:N1"/>
    <mergeCell ref="A2:N2"/>
    <mergeCell ref="A3:M3"/>
    <mergeCell ref="A4:N4"/>
    <mergeCell ref="A5:N5"/>
  </mergeCells>
  <printOptions horizontalCentered="1"/>
  <pageMargins left="0.2" right="0.2" top="0.25" bottom="0.25" header="0.3" footer="0.3"/>
  <pageSetup paperSize="9" scale="95" orientation="landscape" horizontalDpi="0" verticalDpi="0" r:id="rId1"/>
  <ignoredErrors>
    <ignoredError sqref="K14:K39" formulaRange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37"/>
  <sheetViews>
    <sheetView topLeftCell="A19" zoomScaleNormal="100" workbookViewId="0">
      <selection activeCell="A26" sqref="A26:K27"/>
    </sheetView>
  </sheetViews>
  <sheetFormatPr defaultRowHeight="15" x14ac:dyDescent="0.25"/>
  <cols>
    <col min="1" max="1" width="16.28515625" customWidth="1"/>
  </cols>
  <sheetData>
    <row r="1" spans="1:12" s="34" customFormat="1" ht="21.75" customHeight="1" x14ac:dyDescent="0.35">
      <c r="A1" s="202" t="s">
        <v>135</v>
      </c>
      <c r="B1" s="202"/>
      <c r="C1" s="202"/>
      <c r="D1" s="202"/>
      <c r="E1" s="202"/>
      <c r="F1" s="202"/>
      <c r="G1" s="202"/>
      <c r="H1" s="202"/>
      <c r="I1" s="202"/>
      <c r="J1" s="202"/>
      <c r="K1" s="33"/>
      <c r="L1" s="33"/>
    </row>
    <row r="2" spans="1:12" s="34" customFormat="1" ht="18" customHeight="1" x14ac:dyDescent="0.35">
      <c r="A2" s="203" t="s">
        <v>136</v>
      </c>
      <c r="B2" s="203"/>
      <c r="C2" s="203"/>
      <c r="D2" s="203"/>
      <c r="E2" s="203"/>
      <c r="F2" s="203"/>
      <c r="G2" s="203"/>
      <c r="H2" s="203"/>
      <c r="I2" s="203"/>
      <c r="J2" s="203"/>
      <c r="K2" s="33"/>
      <c r="L2" s="33"/>
    </row>
    <row r="3" spans="1:12" ht="12.75" customHeight="1" x14ac:dyDescent="0.25">
      <c r="A3" s="208"/>
      <c r="B3" s="208"/>
      <c r="C3" s="208"/>
      <c r="D3" s="208"/>
      <c r="E3" s="208"/>
      <c r="F3" s="208"/>
      <c r="G3" s="208"/>
      <c r="H3" s="208"/>
      <c r="I3" s="208"/>
      <c r="J3" s="208"/>
      <c r="K3" s="208"/>
      <c r="L3" s="208"/>
    </row>
    <row r="4" spans="1:12" s="36" customFormat="1" ht="17.25" customHeight="1" x14ac:dyDescent="0.25">
      <c r="A4" s="263" t="s">
        <v>187</v>
      </c>
      <c r="B4" s="264"/>
      <c r="C4" s="264"/>
      <c r="D4" s="264"/>
      <c r="E4" s="264"/>
      <c r="F4" s="264"/>
      <c r="G4" s="264"/>
      <c r="H4" s="264"/>
      <c r="I4" s="264"/>
      <c r="J4" s="264"/>
      <c r="K4" s="264"/>
      <c r="L4" s="35"/>
    </row>
    <row r="5" spans="1:12" s="36" customFormat="1" ht="28.5" customHeight="1" x14ac:dyDescent="0.25">
      <c r="A5" s="265" t="s">
        <v>194</v>
      </c>
      <c r="B5" s="266"/>
      <c r="C5" s="266"/>
      <c r="D5" s="266"/>
      <c r="E5" s="266"/>
      <c r="F5" s="266"/>
      <c r="G5" s="266"/>
      <c r="H5" s="266"/>
      <c r="I5" s="266"/>
      <c r="J5" s="266"/>
      <c r="K5" s="266"/>
      <c r="L5" s="35"/>
    </row>
    <row r="6" spans="1:12" s="36" customFormat="1" ht="17.25" customHeight="1" x14ac:dyDescent="0.25">
      <c r="A6" s="263" t="s">
        <v>177</v>
      </c>
      <c r="B6" s="264"/>
      <c r="C6" s="264"/>
      <c r="D6" s="264"/>
      <c r="E6" s="264"/>
      <c r="F6" s="264"/>
      <c r="G6" s="264"/>
      <c r="H6" s="264"/>
      <c r="I6" s="264"/>
      <c r="J6" s="264"/>
      <c r="K6" s="264"/>
      <c r="L6" s="35"/>
    </row>
    <row r="7" spans="1:12" x14ac:dyDescent="0.25">
      <c r="A7" s="23"/>
      <c r="B7" s="23"/>
      <c r="C7" s="23"/>
      <c r="D7" s="23"/>
      <c r="E7" s="23"/>
      <c r="F7" s="23"/>
      <c r="G7" s="23"/>
      <c r="H7" s="23"/>
      <c r="I7" s="23"/>
      <c r="J7" s="23"/>
    </row>
    <row r="8" spans="1:12" ht="24.75" customHeight="1" x14ac:dyDescent="0.25">
      <c r="A8" s="271" t="s">
        <v>126</v>
      </c>
      <c r="B8" s="274" t="s">
        <v>121</v>
      </c>
      <c r="C8" s="275"/>
      <c r="D8" s="270" t="s">
        <v>122</v>
      </c>
      <c r="E8" s="270"/>
      <c r="F8" s="270"/>
      <c r="G8" s="270"/>
      <c r="H8" s="270"/>
      <c r="I8" s="270"/>
      <c r="J8" s="270"/>
    </row>
    <row r="9" spans="1:12" s="25" customFormat="1" ht="28.5" customHeight="1" x14ac:dyDescent="0.25">
      <c r="A9" s="272"/>
      <c r="B9" s="276"/>
      <c r="C9" s="277"/>
      <c r="D9" s="4">
        <v>1</v>
      </c>
      <c r="E9" s="4">
        <v>2</v>
      </c>
      <c r="F9" s="4">
        <v>3</v>
      </c>
      <c r="G9" s="9">
        <v>4</v>
      </c>
      <c r="H9" s="9">
        <v>5</v>
      </c>
      <c r="I9" s="9">
        <v>6</v>
      </c>
      <c r="J9" s="9">
        <v>7</v>
      </c>
    </row>
    <row r="10" spans="1:12" s="25" customFormat="1" ht="28.5" customHeight="1" x14ac:dyDescent="0.25">
      <c r="A10" s="278" t="s">
        <v>201</v>
      </c>
      <c r="B10" s="270" t="s">
        <v>4</v>
      </c>
      <c r="C10" s="216"/>
      <c r="D10" s="5">
        <v>3</v>
      </c>
      <c r="E10" s="84">
        <v>1</v>
      </c>
      <c r="F10" s="24" t="s">
        <v>125</v>
      </c>
      <c r="G10" s="24" t="s">
        <v>125</v>
      </c>
      <c r="H10" s="24" t="s">
        <v>125</v>
      </c>
      <c r="I10" s="24" t="s">
        <v>125</v>
      </c>
      <c r="J10" s="24" t="s">
        <v>125</v>
      </c>
    </row>
    <row r="11" spans="1:12" ht="32.25" customHeight="1" x14ac:dyDescent="0.25">
      <c r="A11" s="278"/>
      <c r="B11" s="270" t="s">
        <v>59</v>
      </c>
      <c r="C11" s="216"/>
      <c r="D11" s="5">
        <v>1</v>
      </c>
      <c r="E11" s="84">
        <v>3</v>
      </c>
      <c r="F11" s="77">
        <v>3</v>
      </c>
      <c r="G11" s="84">
        <v>3</v>
      </c>
      <c r="H11" s="77">
        <v>1</v>
      </c>
      <c r="I11" s="24" t="s">
        <v>125</v>
      </c>
      <c r="J11" s="77">
        <v>2</v>
      </c>
    </row>
    <row r="12" spans="1:12" ht="32.25" customHeight="1" x14ac:dyDescent="0.25">
      <c r="A12" s="278"/>
      <c r="B12" s="270" t="s">
        <v>5</v>
      </c>
      <c r="C12" s="216"/>
      <c r="D12" s="24" t="s">
        <v>125</v>
      </c>
      <c r="E12" s="24" t="s">
        <v>125</v>
      </c>
      <c r="F12" s="84">
        <v>1</v>
      </c>
      <c r="G12" s="84">
        <v>1</v>
      </c>
      <c r="H12" s="77">
        <v>1</v>
      </c>
      <c r="I12" s="24" t="s">
        <v>125</v>
      </c>
      <c r="J12" s="77">
        <v>2</v>
      </c>
    </row>
    <row r="13" spans="1:12" ht="32.25" customHeight="1" x14ac:dyDescent="0.25">
      <c r="A13" s="278"/>
      <c r="B13" s="270" t="s">
        <v>202</v>
      </c>
      <c r="C13" s="216"/>
      <c r="D13" s="24" t="s">
        <v>125</v>
      </c>
      <c r="E13" s="24" t="s">
        <v>125</v>
      </c>
      <c r="F13" s="77" t="s">
        <v>125</v>
      </c>
      <c r="G13" s="84">
        <v>1</v>
      </c>
      <c r="H13" s="77">
        <v>1</v>
      </c>
      <c r="I13" s="24" t="s">
        <v>125</v>
      </c>
      <c r="J13" s="77">
        <v>2</v>
      </c>
    </row>
    <row r="14" spans="1:12" ht="32.25" customHeight="1" x14ac:dyDescent="0.25"/>
    <row r="15" spans="1:12" ht="22.5" x14ac:dyDescent="0.3">
      <c r="A15" s="273" t="s">
        <v>132</v>
      </c>
      <c r="B15" s="273"/>
      <c r="C15" s="273"/>
      <c r="D15" s="273"/>
      <c r="E15" s="273"/>
      <c r="F15" s="273"/>
      <c r="G15" s="273"/>
      <c r="H15" s="273"/>
      <c r="I15" s="273"/>
      <c r="J15" s="273"/>
    </row>
    <row r="17" spans="1:30" x14ac:dyDescent="0.25">
      <c r="A17" s="271" t="s">
        <v>126</v>
      </c>
      <c r="B17" s="274" t="s">
        <v>121</v>
      </c>
      <c r="C17" s="275"/>
      <c r="D17" s="271" t="s">
        <v>133</v>
      </c>
      <c r="E17" s="270" t="s">
        <v>122</v>
      </c>
      <c r="F17" s="270"/>
      <c r="G17" s="270"/>
      <c r="H17" s="270"/>
      <c r="I17" s="270"/>
      <c r="J17" s="270"/>
      <c r="K17" s="270"/>
    </row>
    <row r="18" spans="1:30" x14ac:dyDescent="0.25">
      <c r="A18" s="272"/>
      <c r="B18" s="276"/>
      <c r="C18" s="277"/>
      <c r="D18" s="272"/>
      <c r="E18" s="4">
        <v>1</v>
      </c>
      <c r="F18" s="4">
        <v>2</v>
      </c>
      <c r="G18" s="4">
        <v>3</v>
      </c>
      <c r="H18" s="9">
        <v>4</v>
      </c>
      <c r="I18" s="9">
        <v>5</v>
      </c>
      <c r="J18" s="9">
        <v>6</v>
      </c>
      <c r="K18" s="9">
        <v>7</v>
      </c>
    </row>
    <row r="19" spans="1:30" ht="29.25" customHeight="1" x14ac:dyDescent="0.25">
      <c r="A19" s="278" t="s">
        <v>201</v>
      </c>
      <c r="B19" s="270" t="s">
        <v>4</v>
      </c>
      <c r="C19" s="216"/>
      <c r="D19" s="5"/>
      <c r="E19" s="5">
        <v>3</v>
      </c>
      <c r="F19" s="84">
        <v>1</v>
      </c>
      <c r="G19" s="24" t="s">
        <v>125</v>
      </c>
      <c r="H19" s="24" t="s">
        <v>125</v>
      </c>
      <c r="I19" s="24" t="s">
        <v>125</v>
      </c>
      <c r="J19" s="24" t="s">
        <v>125</v>
      </c>
      <c r="K19" s="24" t="s">
        <v>125</v>
      </c>
    </row>
    <row r="20" spans="1:30" ht="29.25" customHeight="1" x14ac:dyDescent="0.25">
      <c r="A20" s="278"/>
      <c r="B20" s="270" t="s">
        <v>59</v>
      </c>
      <c r="C20" s="216"/>
      <c r="D20" s="5"/>
      <c r="E20" s="5">
        <v>1</v>
      </c>
      <c r="F20" s="84">
        <v>3</v>
      </c>
      <c r="G20" s="77">
        <v>3</v>
      </c>
      <c r="H20" s="84">
        <v>3</v>
      </c>
      <c r="I20" s="77">
        <v>1</v>
      </c>
      <c r="J20" s="24" t="s">
        <v>125</v>
      </c>
      <c r="K20" s="77">
        <v>2</v>
      </c>
    </row>
    <row r="21" spans="1:30" ht="29.25" customHeight="1" x14ac:dyDescent="0.25">
      <c r="A21" s="278"/>
      <c r="B21" s="270" t="s">
        <v>5</v>
      </c>
      <c r="C21" s="216"/>
      <c r="D21" s="5"/>
      <c r="E21" s="24" t="s">
        <v>125</v>
      </c>
      <c r="F21" s="24" t="s">
        <v>125</v>
      </c>
      <c r="G21" s="84">
        <v>1</v>
      </c>
      <c r="H21" s="84">
        <v>1</v>
      </c>
      <c r="I21" s="77">
        <v>1</v>
      </c>
      <c r="J21" s="24" t="s">
        <v>125</v>
      </c>
      <c r="K21" s="77">
        <v>2</v>
      </c>
    </row>
    <row r="22" spans="1:30" ht="29.25" customHeight="1" x14ac:dyDescent="0.25">
      <c r="A22" s="278"/>
      <c r="B22" s="270" t="s">
        <v>202</v>
      </c>
      <c r="C22" s="216"/>
      <c r="D22" s="5"/>
      <c r="E22" s="24" t="s">
        <v>125</v>
      </c>
      <c r="F22" s="24" t="s">
        <v>125</v>
      </c>
      <c r="G22" s="77" t="s">
        <v>125</v>
      </c>
      <c r="H22" s="84">
        <v>1</v>
      </c>
      <c r="I22" s="77">
        <v>1</v>
      </c>
      <c r="J22" s="24" t="s">
        <v>125</v>
      </c>
      <c r="K22" s="77">
        <v>2</v>
      </c>
    </row>
    <row r="23" spans="1:30" ht="29.25" customHeight="1" x14ac:dyDescent="0.25">
      <c r="D23" s="31" t="s">
        <v>134</v>
      </c>
      <c r="E23" s="61"/>
      <c r="F23" s="61"/>
      <c r="G23" s="61"/>
      <c r="H23" s="61"/>
      <c r="I23" s="30"/>
      <c r="J23" s="30"/>
      <c r="K23" s="3"/>
    </row>
    <row r="26" spans="1:30" ht="15.75" x14ac:dyDescent="0.25">
      <c r="A26" s="37" t="s">
        <v>179</v>
      </c>
      <c r="B26" s="37"/>
      <c r="C26" s="37"/>
      <c r="D26" s="37"/>
      <c r="E26" s="37" t="s">
        <v>178</v>
      </c>
      <c r="F26" s="37"/>
      <c r="G26" s="37"/>
      <c r="H26" s="37"/>
      <c r="I26" s="37" t="s">
        <v>138</v>
      </c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  <c r="AB26" s="210" t="s">
        <v>138</v>
      </c>
      <c r="AC26" s="210"/>
      <c r="AD26" s="210"/>
    </row>
    <row r="27" spans="1:30" x14ac:dyDescent="0.25">
      <c r="A27" s="211" t="s">
        <v>146</v>
      </c>
      <c r="B27" s="211"/>
      <c r="C27" s="211"/>
      <c r="D27" s="38"/>
      <c r="E27" s="38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2"/>
    </row>
    <row r="30" spans="1:30" ht="15.75" x14ac:dyDescent="0.25">
      <c r="A30" s="233" t="s">
        <v>163</v>
      </c>
      <c r="B30" s="235"/>
      <c r="C30" s="257"/>
      <c r="D30" s="258"/>
      <c r="E30" s="258"/>
      <c r="F30" s="258"/>
      <c r="G30" s="258"/>
      <c r="H30" s="259"/>
    </row>
    <row r="31" spans="1:30" ht="26.25" customHeight="1" x14ac:dyDescent="0.25">
      <c r="A31" s="233" t="s">
        <v>164</v>
      </c>
      <c r="B31" s="234"/>
      <c r="C31" s="260" t="s">
        <v>174</v>
      </c>
      <c r="D31" s="261"/>
      <c r="E31" s="261"/>
      <c r="F31" s="261"/>
      <c r="G31" s="261"/>
      <c r="H31" s="262"/>
    </row>
    <row r="32" spans="1:30" ht="26.25" customHeight="1" x14ac:dyDescent="0.25">
      <c r="A32" s="233" t="s">
        <v>165</v>
      </c>
      <c r="B32" s="234"/>
      <c r="C32" s="260" t="s">
        <v>160</v>
      </c>
      <c r="D32" s="261"/>
      <c r="E32" s="261"/>
      <c r="F32" s="261"/>
      <c r="G32" s="261"/>
      <c r="H32" s="262"/>
    </row>
    <row r="33" spans="1:8" ht="26.25" customHeight="1" x14ac:dyDescent="0.25">
      <c r="A33" s="233" t="s">
        <v>166</v>
      </c>
      <c r="B33" s="234"/>
      <c r="C33" s="260" t="s">
        <v>161</v>
      </c>
      <c r="D33" s="261"/>
      <c r="E33" s="261"/>
      <c r="F33" s="261"/>
      <c r="G33" s="261"/>
      <c r="H33" s="262"/>
    </row>
    <row r="34" spans="1:8" ht="26.25" customHeight="1" x14ac:dyDescent="0.25">
      <c r="A34" s="233" t="s">
        <v>167</v>
      </c>
      <c r="B34" s="234"/>
      <c r="C34" s="267" t="s">
        <v>173</v>
      </c>
      <c r="D34" s="268"/>
      <c r="E34" s="268"/>
      <c r="F34" s="268"/>
      <c r="G34" s="268"/>
      <c r="H34" s="269"/>
    </row>
    <row r="35" spans="1:8" ht="26.25" customHeight="1" x14ac:dyDescent="0.25">
      <c r="A35" s="233" t="s">
        <v>168</v>
      </c>
      <c r="B35" s="234"/>
      <c r="C35" s="256" t="s">
        <v>162</v>
      </c>
      <c r="D35" s="256"/>
      <c r="E35" s="256"/>
      <c r="F35" s="256"/>
      <c r="G35" s="256"/>
      <c r="H35" s="256"/>
    </row>
    <row r="36" spans="1:8" ht="26.25" customHeight="1" x14ac:dyDescent="0.25">
      <c r="A36" s="233" t="s">
        <v>169</v>
      </c>
      <c r="B36" s="234"/>
      <c r="C36" s="256" t="s">
        <v>171</v>
      </c>
      <c r="D36" s="256"/>
      <c r="E36" s="256"/>
      <c r="F36" s="256"/>
      <c r="G36" s="256"/>
      <c r="H36" s="256"/>
    </row>
    <row r="37" spans="1:8" ht="26.25" customHeight="1" x14ac:dyDescent="0.25">
      <c r="A37" s="233" t="s">
        <v>170</v>
      </c>
      <c r="B37" s="234"/>
      <c r="C37" s="256" t="s">
        <v>172</v>
      </c>
      <c r="D37" s="256"/>
      <c r="E37" s="256"/>
      <c r="F37" s="256"/>
      <c r="G37" s="256"/>
      <c r="H37" s="256"/>
    </row>
  </sheetData>
  <mergeCells count="42">
    <mergeCell ref="AB26:AD26"/>
    <mergeCell ref="A3:L3"/>
    <mergeCell ref="A1:J1"/>
    <mergeCell ref="A2:J2"/>
    <mergeCell ref="A15:J15"/>
    <mergeCell ref="A17:A18"/>
    <mergeCell ref="B17:C18"/>
    <mergeCell ref="A8:A9"/>
    <mergeCell ref="B8:C9"/>
    <mergeCell ref="D8:J8"/>
    <mergeCell ref="A10:A13"/>
    <mergeCell ref="B10:C10"/>
    <mergeCell ref="B11:C11"/>
    <mergeCell ref="B13:C13"/>
    <mergeCell ref="A19:A22"/>
    <mergeCell ref="B12:C12"/>
    <mergeCell ref="A4:K4"/>
    <mergeCell ref="A5:K5"/>
    <mergeCell ref="A6:K6"/>
    <mergeCell ref="C34:H34"/>
    <mergeCell ref="C35:H35"/>
    <mergeCell ref="A30:B30"/>
    <mergeCell ref="B19:C19"/>
    <mergeCell ref="B20:C20"/>
    <mergeCell ref="B22:C22"/>
    <mergeCell ref="D17:D18"/>
    <mergeCell ref="E17:K17"/>
    <mergeCell ref="A27:C27"/>
    <mergeCell ref="B21:C21"/>
    <mergeCell ref="C36:H36"/>
    <mergeCell ref="C37:H37"/>
    <mergeCell ref="C30:H30"/>
    <mergeCell ref="A31:B31"/>
    <mergeCell ref="A32:B32"/>
    <mergeCell ref="A33:B33"/>
    <mergeCell ref="A34:B34"/>
    <mergeCell ref="A35:B35"/>
    <mergeCell ref="A36:B36"/>
    <mergeCell ref="A37:B37"/>
    <mergeCell ref="C31:H31"/>
    <mergeCell ref="C32:H32"/>
    <mergeCell ref="C33:H33"/>
  </mergeCells>
  <printOptions horizontalCentered="1"/>
  <pageMargins left="0.45" right="0.45" top="0.25" bottom="0.25" header="0.3" footer="0.3"/>
  <pageSetup paperSize="9" orientation="landscape" horizontalDpi="0" verticalDpi="0" r:id="rId1"/>
  <rowBreaks count="1" manualBreakCount="1">
    <brk id="28" max="16383" man="1"/>
  </rowBreaks>
  <colBreaks count="1" manualBreakCount="1">
    <brk id="11" max="1048575" man="1"/>
  </col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2"/>
  <sheetViews>
    <sheetView zoomScale="90" zoomScaleNormal="90" workbookViewId="0">
      <selection sqref="A1:M6"/>
    </sheetView>
  </sheetViews>
  <sheetFormatPr defaultRowHeight="18.75" x14ac:dyDescent="0.3"/>
  <cols>
    <col min="1" max="1" width="5" customWidth="1"/>
    <col min="2" max="2" width="13.42578125" customWidth="1"/>
    <col min="3" max="3" width="42.85546875" customWidth="1"/>
    <col min="4" max="4" width="12.7109375" style="111" customWidth="1"/>
    <col min="5" max="6" width="12.7109375" customWidth="1"/>
    <col min="7" max="8" width="12.7109375" style="52" customWidth="1"/>
    <col min="9" max="9" width="12.7109375" customWidth="1"/>
    <col min="10" max="11" width="12.7109375" style="52" customWidth="1"/>
    <col min="12" max="12" width="12.7109375" style="53" customWidth="1"/>
    <col min="13" max="13" width="21.7109375" customWidth="1"/>
    <col min="14" max="15" width="9.140625" hidden="1" customWidth="1"/>
  </cols>
  <sheetData>
    <row r="1" spans="1:13" s="34" customFormat="1" ht="15" customHeight="1" x14ac:dyDescent="0.35">
      <c r="A1" s="279" t="s">
        <v>135</v>
      </c>
      <c r="B1" s="280"/>
      <c r="C1" s="280"/>
      <c r="D1" s="280"/>
      <c r="E1" s="280"/>
      <c r="F1" s="280"/>
      <c r="G1" s="280"/>
      <c r="H1" s="280"/>
      <c r="I1" s="280"/>
      <c r="J1" s="280"/>
      <c r="K1" s="280"/>
      <c r="L1" s="280"/>
      <c r="M1" s="281"/>
    </row>
    <row r="2" spans="1:13" s="34" customFormat="1" ht="15" customHeight="1" x14ac:dyDescent="0.35">
      <c r="A2" s="282" t="s">
        <v>136</v>
      </c>
      <c r="B2" s="283"/>
      <c r="C2" s="283"/>
      <c r="D2" s="283"/>
      <c r="E2" s="283"/>
      <c r="F2" s="283"/>
      <c r="G2" s="283"/>
      <c r="H2" s="283"/>
      <c r="I2" s="283"/>
      <c r="J2" s="283"/>
      <c r="K2" s="283"/>
      <c r="L2" s="283"/>
      <c r="M2" s="284"/>
    </row>
    <row r="3" spans="1:13" s="34" customFormat="1" ht="15" customHeight="1" x14ac:dyDescent="0.35">
      <c r="A3" s="282" t="s">
        <v>236</v>
      </c>
      <c r="B3" s="283"/>
      <c r="C3" s="283"/>
      <c r="D3" s="283"/>
      <c r="E3" s="283"/>
      <c r="F3" s="283"/>
      <c r="G3" s="283"/>
      <c r="H3" s="283"/>
      <c r="I3" s="283"/>
      <c r="J3" s="283"/>
      <c r="K3" s="283"/>
      <c r="L3" s="283"/>
      <c r="M3" s="284"/>
    </row>
    <row r="4" spans="1:13" s="36" customFormat="1" ht="15" customHeight="1" x14ac:dyDescent="0.25">
      <c r="A4" s="285" t="s">
        <v>235</v>
      </c>
      <c r="B4" s="286"/>
      <c r="C4" s="286"/>
      <c r="D4" s="286"/>
      <c r="E4" s="286"/>
      <c r="F4" s="286"/>
      <c r="G4" s="286"/>
      <c r="H4" s="286"/>
      <c r="I4" s="286"/>
      <c r="J4" s="286"/>
      <c r="K4" s="286"/>
      <c r="L4" s="286"/>
      <c r="M4" s="287"/>
    </row>
    <row r="5" spans="1:13" s="36" customFormat="1" ht="15" customHeight="1" x14ac:dyDescent="0.25">
      <c r="A5" s="285" t="s">
        <v>355</v>
      </c>
      <c r="B5" s="286"/>
      <c r="C5" s="286"/>
      <c r="D5" s="286"/>
      <c r="E5" s="286"/>
      <c r="F5" s="286"/>
      <c r="G5" s="286"/>
      <c r="H5" s="286"/>
      <c r="I5" s="286"/>
      <c r="J5" s="286"/>
      <c r="K5" s="286"/>
      <c r="L5" s="286"/>
      <c r="M5" s="287"/>
    </row>
    <row r="6" spans="1:13" s="36" customFormat="1" ht="15" customHeight="1" thickBot="1" x14ac:dyDescent="0.3">
      <c r="A6" s="288" t="s">
        <v>237</v>
      </c>
      <c r="B6" s="289"/>
      <c r="C6" s="289"/>
      <c r="D6" s="289"/>
      <c r="E6" s="289"/>
      <c r="F6" s="289"/>
      <c r="G6" s="289"/>
      <c r="H6" s="289"/>
      <c r="I6" s="289"/>
      <c r="J6" s="289"/>
      <c r="K6" s="289"/>
      <c r="L6" s="289"/>
      <c r="M6" s="290"/>
    </row>
    <row r="7" spans="1:13" s="25" customFormat="1" ht="27.75" customHeight="1" x14ac:dyDescent="0.25">
      <c r="A7" s="291" t="s">
        <v>2</v>
      </c>
      <c r="B7" s="293" t="s">
        <v>1</v>
      </c>
      <c r="C7" s="295" t="s">
        <v>3</v>
      </c>
      <c r="D7" s="91" t="s">
        <v>150</v>
      </c>
      <c r="E7" s="104" t="s">
        <v>151</v>
      </c>
      <c r="F7" s="91" t="s">
        <v>152</v>
      </c>
      <c r="G7" s="296" t="s">
        <v>153</v>
      </c>
      <c r="H7" s="91" t="s">
        <v>157</v>
      </c>
      <c r="I7" s="91" t="s">
        <v>158</v>
      </c>
      <c r="J7" s="314" t="s">
        <v>233</v>
      </c>
      <c r="K7" s="296" t="s">
        <v>159</v>
      </c>
      <c r="L7" s="312" t="s">
        <v>154</v>
      </c>
      <c r="M7" s="308" t="s">
        <v>234</v>
      </c>
    </row>
    <row r="8" spans="1:13" s="25" customFormat="1" ht="26.25" customHeight="1" x14ac:dyDescent="0.25">
      <c r="A8" s="291"/>
      <c r="B8" s="293"/>
      <c r="C8" s="233"/>
      <c r="D8" s="57" t="s">
        <v>155</v>
      </c>
      <c r="E8" s="105" t="s">
        <v>227</v>
      </c>
      <c r="F8" s="57" t="s">
        <v>228</v>
      </c>
      <c r="G8" s="296"/>
      <c r="H8" s="57" t="s">
        <v>232</v>
      </c>
      <c r="I8" s="81" t="s">
        <v>211</v>
      </c>
      <c r="J8" s="306"/>
      <c r="K8" s="302"/>
      <c r="L8" s="313"/>
      <c r="M8" s="309"/>
    </row>
    <row r="9" spans="1:13" s="54" customFormat="1" ht="19.149999999999999" customHeight="1" x14ac:dyDescent="0.25">
      <c r="A9" s="292"/>
      <c r="B9" s="294"/>
      <c r="C9" s="233"/>
      <c r="D9" s="95">
        <v>30</v>
      </c>
      <c r="E9" s="106">
        <v>30</v>
      </c>
      <c r="F9" s="95">
        <v>30</v>
      </c>
      <c r="G9" s="96">
        <v>30</v>
      </c>
      <c r="H9" s="95">
        <v>20</v>
      </c>
      <c r="I9" s="97">
        <v>20</v>
      </c>
      <c r="J9" s="98">
        <v>20</v>
      </c>
      <c r="K9" s="98">
        <v>10</v>
      </c>
      <c r="L9" s="99">
        <v>60</v>
      </c>
      <c r="M9" s="309"/>
    </row>
    <row r="10" spans="1:13" s="102" customFormat="1" ht="24" customHeight="1" x14ac:dyDescent="0.25">
      <c r="A10" s="5">
        <v>1</v>
      </c>
      <c r="B10" s="114" t="s">
        <v>238</v>
      </c>
      <c r="C10" s="113" t="s">
        <v>262</v>
      </c>
      <c r="D10" s="87">
        <v>22</v>
      </c>
      <c r="E10" s="107">
        <v>24</v>
      </c>
      <c r="F10" s="87">
        <v>26</v>
      </c>
      <c r="G10" s="87">
        <v>24</v>
      </c>
      <c r="H10" s="87">
        <v>20</v>
      </c>
      <c r="I10" s="87">
        <v>20</v>
      </c>
      <c r="J10" s="87">
        <v>18</v>
      </c>
      <c r="K10" s="87">
        <v>19</v>
      </c>
      <c r="L10" s="87">
        <v>43</v>
      </c>
      <c r="M10" s="10" t="s">
        <v>217</v>
      </c>
    </row>
    <row r="11" spans="1:13" s="102" customFormat="1" ht="24" customHeight="1" x14ac:dyDescent="0.25">
      <c r="A11" s="5">
        <v>2</v>
      </c>
      <c r="B11" s="114" t="s">
        <v>239</v>
      </c>
      <c r="C11" s="113" t="s">
        <v>263</v>
      </c>
      <c r="D11" s="315" t="s">
        <v>286</v>
      </c>
      <c r="E11" s="316"/>
      <c r="F11" s="316"/>
      <c r="G11" s="316"/>
      <c r="H11" s="316"/>
      <c r="I11" s="316"/>
      <c r="J11" s="316"/>
      <c r="K11" s="316"/>
      <c r="L11" s="317"/>
      <c r="M11" s="10" t="s">
        <v>217</v>
      </c>
    </row>
    <row r="12" spans="1:13" s="102" customFormat="1" ht="24" customHeight="1" x14ac:dyDescent="0.25">
      <c r="A12" s="5">
        <v>3</v>
      </c>
      <c r="B12" s="114" t="s">
        <v>240</v>
      </c>
      <c r="C12" s="113" t="s">
        <v>264</v>
      </c>
      <c r="D12" s="87">
        <v>20</v>
      </c>
      <c r="E12" s="107">
        <v>18</v>
      </c>
      <c r="F12" s="87">
        <v>23</v>
      </c>
      <c r="G12" s="87">
        <v>20</v>
      </c>
      <c r="H12" s="87">
        <v>20</v>
      </c>
      <c r="I12" s="87">
        <v>20</v>
      </c>
      <c r="J12" s="87">
        <v>18</v>
      </c>
      <c r="K12" s="87">
        <v>19</v>
      </c>
      <c r="L12" s="87">
        <v>39</v>
      </c>
      <c r="M12" s="10" t="s">
        <v>217</v>
      </c>
    </row>
    <row r="13" spans="1:13" s="102" customFormat="1" ht="24" customHeight="1" x14ac:dyDescent="0.25">
      <c r="A13" s="5">
        <v>4</v>
      </c>
      <c r="B13" s="114" t="s">
        <v>241</v>
      </c>
      <c r="C13" s="113" t="s">
        <v>265</v>
      </c>
      <c r="D13" s="87">
        <v>22</v>
      </c>
      <c r="E13" s="107">
        <v>26</v>
      </c>
      <c r="F13" s="87">
        <v>24</v>
      </c>
      <c r="G13" s="87">
        <v>24</v>
      </c>
      <c r="H13" s="87">
        <v>19</v>
      </c>
      <c r="I13" s="87">
        <v>20</v>
      </c>
      <c r="J13" s="87">
        <v>18</v>
      </c>
      <c r="K13" s="87">
        <v>19</v>
      </c>
      <c r="L13" s="87">
        <v>43</v>
      </c>
      <c r="M13" s="10" t="s">
        <v>217</v>
      </c>
    </row>
    <row r="14" spans="1:13" s="102" customFormat="1" ht="24" customHeight="1" x14ac:dyDescent="0.25">
      <c r="A14" s="5">
        <v>5</v>
      </c>
      <c r="B14" s="114" t="s">
        <v>242</v>
      </c>
      <c r="C14" s="113" t="s">
        <v>266</v>
      </c>
      <c r="D14" s="87">
        <v>26</v>
      </c>
      <c r="E14" s="107">
        <v>25</v>
      </c>
      <c r="F14" s="87">
        <v>26</v>
      </c>
      <c r="G14" s="87">
        <v>25</v>
      </c>
      <c r="H14" s="87">
        <v>20</v>
      </c>
      <c r="I14" s="87">
        <v>20</v>
      </c>
      <c r="J14" s="87">
        <v>18</v>
      </c>
      <c r="K14" s="87">
        <v>19</v>
      </c>
      <c r="L14" s="87">
        <v>44</v>
      </c>
      <c r="M14" s="10" t="s">
        <v>217</v>
      </c>
    </row>
    <row r="15" spans="1:13" s="102" customFormat="1" ht="24" customHeight="1" x14ac:dyDescent="0.25">
      <c r="A15" s="5">
        <v>6</v>
      </c>
      <c r="B15" s="114" t="s">
        <v>243</v>
      </c>
      <c r="C15" s="113" t="s">
        <v>267</v>
      </c>
      <c r="D15" s="87">
        <v>22</v>
      </c>
      <c r="E15" s="107">
        <v>24</v>
      </c>
      <c r="F15" s="87">
        <v>24</v>
      </c>
      <c r="G15" s="87">
        <v>24</v>
      </c>
      <c r="H15" s="87">
        <v>20</v>
      </c>
      <c r="I15" s="87">
        <v>20</v>
      </c>
      <c r="J15" s="87">
        <v>18</v>
      </c>
      <c r="K15" s="87">
        <v>20</v>
      </c>
      <c r="L15" s="87">
        <v>44</v>
      </c>
      <c r="M15" s="10" t="s">
        <v>217</v>
      </c>
    </row>
    <row r="16" spans="1:13" s="102" customFormat="1" ht="24" customHeight="1" x14ac:dyDescent="0.25">
      <c r="A16" s="5">
        <v>7</v>
      </c>
      <c r="B16" s="114" t="s">
        <v>244</v>
      </c>
      <c r="C16" s="113" t="s">
        <v>268</v>
      </c>
      <c r="D16" s="87">
        <v>22</v>
      </c>
      <c r="E16" s="107">
        <v>22</v>
      </c>
      <c r="F16" s="87">
        <v>26</v>
      </c>
      <c r="G16" s="87">
        <v>23</v>
      </c>
      <c r="H16" s="87">
        <v>20</v>
      </c>
      <c r="I16" s="87">
        <v>20</v>
      </c>
      <c r="J16" s="87">
        <v>15</v>
      </c>
      <c r="K16" s="87">
        <v>18</v>
      </c>
      <c r="L16" s="87">
        <v>41</v>
      </c>
      <c r="M16" s="10" t="s">
        <v>217</v>
      </c>
    </row>
    <row r="17" spans="1:13" s="102" customFormat="1" ht="24" customHeight="1" x14ac:dyDescent="0.25">
      <c r="A17" s="5">
        <v>8</v>
      </c>
      <c r="B17" s="114" t="s">
        <v>245</v>
      </c>
      <c r="C17" s="113" t="s">
        <v>269</v>
      </c>
      <c r="D17" s="315"/>
      <c r="E17" s="316"/>
      <c r="F17" s="316"/>
      <c r="G17" s="316"/>
      <c r="H17" s="316"/>
      <c r="I17" s="316"/>
      <c r="J17" s="316"/>
      <c r="K17" s="316"/>
      <c r="L17" s="317"/>
      <c r="M17" s="10" t="s">
        <v>217</v>
      </c>
    </row>
    <row r="18" spans="1:13" s="102" customFormat="1" ht="24" customHeight="1" x14ac:dyDescent="0.25">
      <c r="A18" s="5">
        <v>9</v>
      </c>
      <c r="B18" s="114" t="s">
        <v>246</v>
      </c>
      <c r="C18" s="113" t="s">
        <v>270</v>
      </c>
      <c r="D18" s="87"/>
      <c r="E18" s="107"/>
      <c r="F18" s="87"/>
      <c r="G18" s="87"/>
      <c r="H18" s="87"/>
      <c r="I18" s="87"/>
      <c r="J18" s="87"/>
      <c r="K18" s="87"/>
      <c r="L18" s="87"/>
      <c r="M18" s="10" t="s">
        <v>217</v>
      </c>
    </row>
    <row r="19" spans="1:13" s="102" customFormat="1" ht="24" customHeight="1" x14ac:dyDescent="0.25">
      <c r="A19" s="5">
        <v>10</v>
      </c>
      <c r="B19" s="114" t="s">
        <v>247</v>
      </c>
      <c r="C19" s="113" t="s">
        <v>271</v>
      </c>
      <c r="D19" s="87"/>
      <c r="E19" s="107"/>
      <c r="F19" s="87"/>
      <c r="G19" s="87"/>
      <c r="H19" s="87"/>
      <c r="I19" s="87"/>
      <c r="J19" s="87"/>
      <c r="K19" s="87"/>
      <c r="L19" s="87"/>
      <c r="M19" s="10" t="s">
        <v>217</v>
      </c>
    </row>
    <row r="20" spans="1:13" s="102" customFormat="1" ht="24" customHeight="1" x14ac:dyDescent="0.25">
      <c r="A20" s="5">
        <v>11</v>
      </c>
      <c r="B20" s="114" t="s">
        <v>248</v>
      </c>
      <c r="C20" s="113" t="s">
        <v>272</v>
      </c>
      <c r="D20" s="87"/>
      <c r="E20" s="107"/>
      <c r="F20" s="87"/>
      <c r="G20" s="87"/>
      <c r="H20" s="87"/>
      <c r="I20" s="87"/>
      <c r="J20" s="87"/>
      <c r="K20" s="87"/>
      <c r="L20" s="87"/>
      <c r="M20" s="10" t="s">
        <v>217</v>
      </c>
    </row>
    <row r="21" spans="1:13" s="102" customFormat="1" ht="24" customHeight="1" x14ac:dyDescent="0.25">
      <c r="A21" s="5">
        <v>12</v>
      </c>
      <c r="B21" s="114" t="s">
        <v>249</v>
      </c>
      <c r="C21" s="113" t="s">
        <v>273</v>
      </c>
      <c r="D21" s="87"/>
      <c r="E21" s="107"/>
      <c r="F21" s="87"/>
      <c r="G21" s="87"/>
      <c r="H21" s="87"/>
      <c r="I21" s="87"/>
      <c r="J21" s="87"/>
      <c r="K21" s="87"/>
      <c r="L21" s="87"/>
      <c r="M21" s="10" t="s">
        <v>217</v>
      </c>
    </row>
    <row r="22" spans="1:13" s="102" customFormat="1" ht="24" customHeight="1" x14ac:dyDescent="0.25">
      <c r="A22" s="5">
        <v>13</v>
      </c>
      <c r="B22" s="114" t="s">
        <v>250</v>
      </c>
      <c r="C22" s="113" t="s">
        <v>274</v>
      </c>
      <c r="D22" s="87"/>
      <c r="E22" s="107"/>
      <c r="F22" s="87"/>
      <c r="G22" s="87"/>
      <c r="H22" s="87"/>
      <c r="I22" s="87"/>
      <c r="J22" s="87"/>
      <c r="K22" s="87"/>
      <c r="L22" s="87"/>
      <c r="M22" s="10" t="s">
        <v>217</v>
      </c>
    </row>
    <row r="23" spans="1:13" s="102" customFormat="1" ht="24" customHeight="1" x14ac:dyDescent="0.25">
      <c r="A23" s="5">
        <v>14</v>
      </c>
      <c r="B23" s="114" t="s">
        <v>251</v>
      </c>
      <c r="C23" s="113" t="s">
        <v>275</v>
      </c>
      <c r="D23" s="87"/>
      <c r="E23" s="107"/>
      <c r="F23" s="87"/>
      <c r="G23" s="87"/>
      <c r="H23" s="87"/>
      <c r="I23" s="87"/>
      <c r="J23" s="87"/>
      <c r="K23" s="87"/>
      <c r="L23" s="87"/>
      <c r="M23" s="10" t="s">
        <v>217</v>
      </c>
    </row>
    <row r="24" spans="1:13" s="102" customFormat="1" ht="24" customHeight="1" x14ac:dyDescent="0.25">
      <c r="A24" s="5">
        <v>15</v>
      </c>
      <c r="B24" s="114" t="s">
        <v>252</v>
      </c>
      <c r="C24" s="113" t="s">
        <v>276</v>
      </c>
      <c r="D24" s="87"/>
      <c r="E24" s="107"/>
      <c r="F24" s="87"/>
      <c r="G24" s="87"/>
      <c r="H24" s="87"/>
      <c r="I24" s="87"/>
      <c r="J24" s="87"/>
      <c r="K24" s="87"/>
      <c r="L24" s="87"/>
      <c r="M24" s="10" t="s">
        <v>217</v>
      </c>
    </row>
    <row r="25" spans="1:13" s="102" customFormat="1" ht="24" customHeight="1" x14ac:dyDescent="0.25">
      <c r="A25" s="5">
        <v>16</v>
      </c>
      <c r="B25" s="114" t="s">
        <v>253</v>
      </c>
      <c r="C25" s="113" t="s">
        <v>277</v>
      </c>
      <c r="D25" s="87"/>
      <c r="E25" s="107"/>
      <c r="F25" s="87"/>
      <c r="G25" s="87"/>
      <c r="H25" s="87"/>
      <c r="I25" s="87"/>
      <c r="J25" s="87"/>
      <c r="K25" s="87"/>
      <c r="L25" s="87"/>
      <c r="M25" s="10" t="s">
        <v>217</v>
      </c>
    </row>
    <row r="26" spans="1:13" s="102" customFormat="1" ht="24" customHeight="1" x14ac:dyDescent="0.25">
      <c r="A26" s="5">
        <v>17</v>
      </c>
      <c r="B26" s="114" t="s">
        <v>254</v>
      </c>
      <c r="C26" s="113" t="s">
        <v>278</v>
      </c>
      <c r="D26" s="87"/>
      <c r="E26" s="107"/>
      <c r="F26" s="87"/>
      <c r="G26" s="87"/>
      <c r="H26" s="87"/>
      <c r="I26" s="87"/>
      <c r="J26" s="87"/>
      <c r="K26" s="87"/>
      <c r="L26" s="87"/>
      <c r="M26" s="10" t="s">
        <v>217</v>
      </c>
    </row>
    <row r="27" spans="1:13" s="102" customFormat="1" ht="24" customHeight="1" x14ac:dyDescent="0.25">
      <c r="A27" s="5">
        <v>18</v>
      </c>
      <c r="B27" s="114" t="s">
        <v>255</v>
      </c>
      <c r="C27" s="113" t="s">
        <v>279</v>
      </c>
      <c r="D27" s="87"/>
      <c r="E27" s="107"/>
      <c r="F27" s="87"/>
      <c r="G27" s="87"/>
      <c r="H27" s="87"/>
      <c r="I27" s="87"/>
      <c r="J27" s="87"/>
      <c r="K27" s="87"/>
      <c r="L27" s="87"/>
      <c r="M27" s="10" t="s">
        <v>217</v>
      </c>
    </row>
    <row r="28" spans="1:13" s="102" customFormat="1" ht="24" customHeight="1" x14ac:dyDescent="0.25">
      <c r="A28" s="5">
        <v>19</v>
      </c>
      <c r="B28" s="114" t="s">
        <v>256</v>
      </c>
      <c r="C28" s="113" t="s">
        <v>280</v>
      </c>
      <c r="D28" s="87"/>
      <c r="E28" s="107"/>
      <c r="F28" s="87"/>
      <c r="G28" s="87"/>
      <c r="H28" s="87"/>
      <c r="I28" s="87"/>
      <c r="J28" s="87"/>
      <c r="K28" s="87"/>
      <c r="L28" s="87"/>
      <c r="M28" s="10" t="s">
        <v>217</v>
      </c>
    </row>
    <row r="29" spans="1:13" s="102" customFormat="1" ht="24" customHeight="1" x14ac:dyDescent="0.25">
      <c r="A29" s="5">
        <v>20</v>
      </c>
      <c r="B29" s="114" t="s">
        <v>257</v>
      </c>
      <c r="C29" s="113" t="s">
        <v>281</v>
      </c>
      <c r="D29" s="315"/>
      <c r="E29" s="316"/>
      <c r="F29" s="316"/>
      <c r="G29" s="316"/>
      <c r="H29" s="316"/>
      <c r="I29" s="316"/>
      <c r="J29" s="316"/>
      <c r="K29" s="316"/>
      <c r="L29" s="317"/>
      <c r="M29" s="10" t="s">
        <v>217</v>
      </c>
    </row>
    <row r="30" spans="1:13" s="102" customFormat="1" ht="24" customHeight="1" x14ac:dyDescent="0.25">
      <c r="A30" s="5">
        <v>21</v>
      </c>
      <c r="B30" s="114" t="s">
        <v>258</v>
      </c>
      <c r="C30" s="113" t="s">
        <v>282</v>
      </c>
      <c r="D30" s="87"/>
      <c r="E30" s="107"/>
      <c r="F30" s="87"/>
      <c r="G30" s="87"/>
      <c r="H30" s="87"/>
      <c r="I30" s="87"/>
      <c r="J30" s="87"/>
      <c r="K30" s="87"/>
      <c r="L30" s="87"/>
      <c r="M30" s="10" t="s">
        <v>217</v>
      </c>
    </row>
    <row r="31" spans="1:13" s="102" customFormat="1" ht="24" customHeight="1" x14ac:dyDescent="0.25">
      <c r="A31" s="5">
        <v>22</v>
      </c>
      <c r="B31" s="114" t="s">
        <v>259</v>
      </c>
      <c r="C31" s="113" t="s">
        <v>283</v>
      </c>
      <c r="D31" s="315"/>
      <c r="E31" s="316"/>
      <c r="F31" s="316"/>
      <c r="G31" s="316"/>
      <c r="H31" s="316"/>
      <c r="I31" s="316"/>
      <c r="J31" s="316"/>
      <c r="K31" s="316"/>
      <c r="L31" s="317"/>
      <c r="M31" s="10" t="s">
        <v>217</v>
      </c>
    </row>
    <row r="32" spans="1:13" s="102" customFormat="1" ht="24" customHeight="1" x14ac:dyDescent="0.25">
      <c r="A32" s="5">
        <v>23</v>
      </c>
      <c r="B32" s="114" t="s">
        <v>260</v>
      </c>
      <c r="C32" s="113" t="s">
        <v>284</v>
      </c>
      <c r="D32" s="87"/>
      <c r="E32" s="107"/>
      <c r="F32" s="87"/>
      <c r="G32" s="87"/>
      <c r="H32" s="87"/>
      <c r="I32" s="87"/>
      <c r="J32" s="87"/>
      <c r="K32" s="87"/>
      <c r="L32" s="87"/>
      <c r="M32" s="10" t="s">
        <v>217</v>
      </c>
    </row>
    <row r="33" spans="1:13" s="102" customFormat="1" ht="24" customHeight="1" x14ac:dyDescent="0.25">
      <c r="A33" s="5">
        <v>24</v>
      </c>
      <c r="B33" s="114" t="s">
        <v>261</v>
      </c>
      <c r="C33" s="113" t="s">
        <v>285</v>
      </c>
      <c r="D33" s="315"/>
      <c r="E33" s="316"/>
      <c r="F33" s="316"/>
      <c r="G33" s="316"/>
      <c r="H33" s="316"/>
      <c r="I33" s="316"/>
      <c r="J33" s="316"/>
      <c r="K33" s="316"/>
      <c r="L33" s="317"/>
      <c r="M33" s="10" t="s">
        <v>217</v>
      </c>
    </row>
    <row r="35" spans="1:13" ht="15.75" x14ac:dyDescent="0.25">
      <c r="A35" s="37" t="s">
        <v>179</v>
      </c>
      <c r="B35" s="37"/>
      <c r="C35" s="37"/>
      <c r="D35" s="109"/>
      <c r="F35" s="210" t="s">
        <v>178</v>
      </c>
      <c r="G35" s="210"/>
      <c r="H35" s="210"/>
      <c r="I35" s="210"/>
      <c r="J35" s="311" t="s">
        <v>138</v>
      </c>
      <c r="K35" s="311"/>
      <c r="L35" s="311"/>
      <c r="M35" s="311"/>
    </row>
    <row r="36" spans="1:13" ht="15.75" x14ac:dyDescent="0.25">
      <c r="A36" s="37"/>
      <c r="B36" s="37"/>
      <c r="C36" s="37"/>
      <c r="D36" s="109"/>
      <c r="F36" s="88"/>
      <c r="G36" s="88"/>
      <c r="H36" s="88"/>
      <c r="I36" s="88"/>
      <c r="J36" s="90"/>
      <c r="K36" s="90"/>
      <c r="L36" s="90"/>
      <c r="M36" s="90"/>
    </row>
    <row r="37" spans="1:13" x14ac:dyDescent="0.3">
      <c r="A37" s="211"/>
      <c r="B37" s="211"/>
      <c r="C37" s="211"/>
      <c r="D37" s="110"/>
      <c r="F37" s="1"/>
      <c r="G37" s="1"/>
    </row>
    <row r="38" spans="1:13" s="25" customFormat="1" ht="27.75" customHeight="1" x14ac:dyDescent="0.25">
      <c r="A38" s="271" t="s">
        <v>2</v>
      </c>
      <c r="B38" s="298" t="s">
        <v>1</v>
      </c>
      <c r="C38" s="216" t="s">
        <v>3</v>
      </c>
      <c r="D38" s="85" t="s">
        <v>150</v>
      </c>
      <c r="E38" s="108" t="s">
        <v>151</v>
      </c>
      <c r="F38" s="85" t="s">
        <v>152</v>
      </c>
      <c r="G38" s="301" t="s">
        <v>153</v>
      </c>
      <c r="H38" s="85" t="s">
        <v>157</v>
      </c>
      <c r="I38" s="85" t="s">
        <v>158</v>
      </c>
      <c r="J38" s="305" t="s">
        <v>233</v>
      </c>
      <c r="K38" s="301" t="s">
        <v>159</v>
      </c>
      <c r="L38" s="303" t="s">
        <v>154</v>
      </c>
      <c r="M38" s="310" t="s">
        <v>234</v>
      </c>
    </row>
    <row r="39" spans="1:13" s="25" customFormat="1" ht="21.75" customHeight="1" x14ac:dyDescent="0.25">
      <c r="A39" s="297"/>
      <c r="B39" s="299"/>
      <c r="C39" s="216"/>
      <c r="D39" s="57" t="s">
        <v>155</v>
      </c>
      <c r="E39" s="105" t="s">
        <v>227</v>
      </c>
      <c r="F39" s="57" t="s">
        <v>228</v>
      </c>
      <c r="G39" s="296"/>
      <c r="H39" s="57" t="s">
        <v>156</v>
      </c>
      <c r="I39" s="81" t="s">
        <v>211</v>
      </c>
      <c r="J39" s="306"/>
      <c r="K39" s="302"/>
      <c r="L39" s="304"/>
      <c r="M39" s="310"/>
    </row>
    <row r="40" spans="1:13" s="54" customFormat="1" ht="19.5" customHeight="1" x14ac:dyDescent="0.25">
      <c r="A40" s="272"/>
      <c r="B40" s="300"/>
      <c r="C40" s="216"/>
      <c r="D40" s="95">
        <v>30</v>
      </c>
      <c r="E40" s="106">
        <v>30</v>
      </c>
      <c r="F40" s="95">
        <v>30</v>
      </c>
      <c r="G40" s="96">
        <v>30</v>
      </c>
      <c r="H40" s="95">
        <v>20</v>
      </c>
      <c r="I40" s="97">
        <v>10</v>
      </c>
      <c r="J40" s="98">
        <v>20</v>
      </c>
      <c r="K40" s="98">
        <v>10</v>
      </c>
      <c r="L40" s="124">
        <v>60</v>
      </c>
      <c r="M40" s="310"/>
    </row>
    <row r="41" spans="1:13" s="3" customFormat="1" ht="24" customHeight="1" x14ac:dyDescent="0.25">
      <c r="A41" s="5">
        <v>25</v>
      </c>
      <c r="B41" s="114" t="s">
        <v>287</v>
      </c>
      <c r="C41" s="114" t="s">
        <v>321</v>
      </c>
      <c r="D41" s="87">
        <v>1</v>
      </c>
      <c r="E41" s="87">
        <v>4</v>
      </c>
      <c r="F41" s="87">
        <v>4</v>
      </c>
      <c r="G41" s="87">
        <v>2</v>
      </c>
      <c r="H41" s="87">
        <v>20</v>
      </c>
      <c r="I41" s="87">
        <v>12</v>
      </c>
      <c r="J41" s="87">
        <v>20</v>
      </c>
      <c r="K41" s="87">
        <v>18</v>
      </c>
      <c r="L41" s="87">
        <v>20</v>
      </c>
      <c r="M41" s="10" t="s">
        <v>217</v>
      </c>
    </row>
    <row r="42" spans="1:13" s="3" customFormat="1" ht="24" customHeight="1" x14ac:dyDescent="0.25">
      <c r="A42" s="86">
        <v>26</v>
      </c>
      <c r="B42" s="114" t="s">
        <v>288</v>
      </c>
      <c r="C42" s="114" t="s">
        <v>322</v>
      </c>
      <c r="D42" s="87">
        <v>7</v>
      </c>
      <c r="E42" s="87">
        <v>3</v>
      </c>
      <c r="F42" s="87">
        <v>6</v>
      </c>
      <c r="G42" s="87">
        <v>5</v>
      </c>
      <c r="H42" s="87">
        <v>20</v>
      </c>
      <c r="I42" s="87">
        <v>15</v>
      </c>
      <c r="J42" s="87">
        <v>16</v>
      </c>
      <c r="K42" s="87">
        <v>17</v>
      </c>
      <c r="L42" s="87">
        <v>22</v>
      </c>
      <c r="M42" s="10" t="s">
        <v>217</v>
      </c>
    </row>
    <row r="43" spans="1:13" s="3" customFormat="1" ht="24" customHeight="1" x14ac:dyDescent="0.25">
      <c r="A43" s="86">
        <v>27</v>
      </c>
      <c r="B43" s="114" t="s">
        <v>289</v>
      </c>
      <c r="C43" s="114" t="s">
        <v>323</v>
      </c>
      <c r="D43" s="87">
        <v>2</v>
      </c>
      <c r="E43" s="87">
        <v>9</v>
      </c>
      <c r="F43" s="87">
        <v>11</v>
      </c>
      <c r="G43" s="87">
        <v>8</v>
      </c>
      <c r="H43" s="87">
        <v>20</v>
      </c>
      <c r="I43" s="87">
        <v>10</v>
      </c>
      <c r="J43" s="87">
        <v>16</v>
      </c>
      <c r="K43" s="87">
        <v>16</v>
      </c>
      <c r="L43" s="87">
        <v>24</v>
      </c>
      <c r="M43" s="10" t="s">
        <v>217</v>
      </c>
    </row>
    <row r="44" spans="1:13" s="3" customFormat="1" ht="24" customHeight="1" x14ac:dyDescent="0.25">
      <c r="A44" s="86">
        <v>28</v>
      </c>
      <c r="B44" s="114" t="s">
        <v>290</v>
      </c>
      <c r="C44" s="114" t="s">
        <v>324</v>
      </c>
      <c r="D44" s="87">
        <v>17</v>
      </c>
      <c r="E44" s="87">
        <v>23</v>
      </c>
      <c r="F44" s="87">
        <v>20</v>
      </c>
      <c r="G44" s="87">
        <v>20</v>
      </c>
      <c r="H44" s="87">
        <v>20</v>
      </c>
      <c r="I44" s="87">
        <v>20</v>
      </c>
      <c r="J44" s="87">
        <v>20</v>
      </c>
      <c r="K44" s="87">
        <v>20</v>
      </c>
      <c r="L44" s="87">
        <v>40</v>
      </c>
      <c r="M44" s="10" t="s">
        <v>217</v>
      </c>
    </row>
    <row r="45" spans="1:13" s="3" customFormat="1" ht="24" customHeight="1" x14ac:dyDescent="0.25">
      <c r="A45" s="5">
        <v>29</v>
      </c>
      <c r="B45" s="114" t="s">
        <v>291</v>
      </c>
      <c r="C45" s="114" t="s">
        <v>325</v>
      </c>
      <c r="D45" s="87">
        <v>6</v>
      </c>
      <c r="E45" s="87">
        <v>14</v>
      </c>
      <c r="F45" s="87">
        <v>18</v>
      </c>
      <c r="G45" s="87">
        <v>13</v>
      </c>
      <c r="H45" s="87">
        <v>20</v>
      </c>
      <c r="I45" s="87">
        <v>18</v>
      </c>
      <c r="J45" s="87">
        <v>16</v>
      </c>
      <c r="K45" s="87">
        <v>19</v>
      </c>
      <c r="L45" s="87">
        <v>32</v>
      </c>
      <c r="M45" s="10" t="s">
        <v>217</v>
      </c>
    </row>
    <row r="46" spans="1:13" s="3" customFormat="1" ht="24" customHeight="1" x14ac:dyDescent="0.25">
      <c r="A46" s="86">
        <v>30</v>
      </c>
      <c r="B46" s="114" t="s">
        <v>292</v>
      </c>
      <c r="C46" s="114" t="s">
        <v>326</v>
      </c>
      <c r="D46" s="307"/>
      <c r="E46" s="307"/>
      <c r="F46" s="307"/>
      <c r="G46" s="307"/>
      <c r="H46" s="307"/>
      <c r="I46" s="307"/>
      <c r="J46" s="307"/>
      <c r="K46" s="307"/>
      <c r="L46" s="307"/>
      <c r="M46" s="10" t="s">
        <v>217</v>
      </c>
    </row>
    <row r="47" spans="1:13" s="3" customFormat="1" ht="24" customHeight="1" x14ac:dyDescent="0.25">
      <c r="A47" s="86">
        <v>31</v>
      </c>
      <c r="B47" s="114" t="s">
        <v>293</v>
      </c>
      <c r="C47" s="114" t="s">
        <v>327</v>
      </c>
      <c r="D47" s="87">
        <v>13</v>
      </c>
      <c r="E47" s="87">
        <v>3</v>
      </c>
      <c r="F47" s="87">
        <v>7</v>
      </c>
      <c r="G47" s="87">
        <v>7</v>
      </c>
      <c r="H47" s="87">
        <v>20</v>
      </c>
      <c r="I47" s="87">
        <v>15</v>
      </c>
      <c r="J47" s="87">
        <v>20</v>
      </c>
      <c r="K47" s="87">
        <v>18</v>
      </c>
      <c r="L47" s="87">
        <v>23</v>
      </c>
      <c r="M47" s="10" t="s">
        <v>217</v>
      </c>
    </row>
    <row r="48" spans="1:13" s="3" customFormat="1" ht="24" customHeight="1" x14ac:dyDescent="0.25">
      <c r="A48" s="86">
        <v>32</v>
      </c>
      <c r="B48" s="114" t="s">
        <v>294</v>
      </c>
      <c r="C48" s="114" t="s">
        <v>328</v>
      </c>
      <c r="D48" s="87">
        <v>1</v>
      </c>
      <c r="E48" s="87">
        <v>16</v>
      </c>
      <c r="F48" s="87">
        <v>13</v>
      </c>
      <c r="G48" s="87">
        <v>10</v>
      </c>
      <c r="H48" s="87">
        <v>20</v>
      </c>
      <c r="I48" s="87">
        <v>16</v>
      </c>
      <c r="J48" s="87">
        <v>20</v>
      </c>
      <c r="K48" s="87">
        <v>19</v>
      </c>
      <c r="L48" s="87">
        <v>29</v>
      </c>
      <c r="M48" s="10" t="s">
        <v>217</v>
      </c>
    </row>
    <row r="49" spans="1:13" s="3" customFormat="1" ht="24" customHeight="1" x14ac:dyDescent="0.25">
      <c r="A49" s="5">
        <v>33</v>
      </c>
      <c r="B49" s="114" t="s">
        <v>295</v>
      </c>
      <c r="C49" s="114" t="s">
        <v>329</v>
      </c>
      <c r="D49" s="87">
        <v>5</v>
      </c>
      <c r="E49" s="87">
        <v>16</v>
      </c>
      <c r="F49" s="87">
        <v>11</v>
      </c>
      <c r="G49" s="87">
        <v>11</v>
      </c>
      <c r="H49" s="87">
        <v>20</v>
      </c>
      <c r="I49" s="87">
        <v>15</v>
      </c>
      <c r="J49" s="87">
        <v>16</v>
      </c>
      <c r="K49" s="87">
        <v>17</v>
      </c>
      <c r="L49" s="87">
        <v>28</v>
      </c>
      <c r="M49" s="10" t="s">
        <v>217</v>
      </c>
    </row>
    <row r="50" spans="1:13" s="3" customFormat="1" ht="24" customHeight="1" x14ac:dyDescent="0.25">
      <c r="A50" s="86">
        <v>34</v>
      </c>
      <c r="B50" s="114" t="s">
        <v>296</v>
      </c>
      <c r="C50" s="114" t="s">
        <v>330</v>
      </c>
      <c r="D50" s="87">
        <v>5</v>
      </c>
      <c r="E50" s="87">
        <v>15</v>
      </c>
      <c r="F50" s="87">
        <v>8</v>
      </c>
      <c r="G50" s="87">
        <v>9</v>
      </c>
      <c r="H50" s="87">
        <v>20</v>
      </c>
      <c r="I50" s="87">
        <v>15</v>
      </c>
      <c r="J50" s="87">
        <v>16</v>
      </c>
      <c r="K50" s="87">
        <v>17</v>
      </c>
      <c r="L50" s="87">
        <v>26</v>
      </c>
      <c r="M50" s="10" t="s">
        <v>217</v>
      </c>
    </row>
    <row r="51" spans="1:13" s="3" customFormat="1" ht="24" customHeight="1" x14ac:dyDescent="0.25">
      <c r="A51" s="86">
        <v>35</v>
      </c>
      <c r="B51" s="114" t="s">
        <v>297</v>
      </c>
      <c r="C51" s="114" t="s">
        <v>331</v>
      </c>
      <c r="D51" s="87">
        <v>5</v>
      </c>
      <c r="E51" s="87">
        <v>8</v>
      </c>
      <c r="F51" s="87">
        <v>6</v>
      </c>
      <c r="G51" s="87">
        <v>6</v>
      </c>
      <c r="H51" s="87">
        <v>20</v>
      </c>
      <c r="I51" s="87">
        <v>10</v>
      </c>
      <c r="J51" s="87">
        <v>16</v>
      </c>
      <c r="K51" s="87">
        <v>15</v>
      </c>
      <c r="L51" s="87">
        <v>21</v>
      </c>
      <c r="M51" s="10" t="s">
        <v>217</v>
      </c>
    </row>
    <row r="52" spans="1:13" s="3" customFormat="1" ht="24" customHeight="1" x14ac:dyDescent="0.25">
      <c r="A52" s="86">
        <v>36</v>
      </c>
      <c r="B52" s="114" t="s">
        <v>298</v>
      </c>
      <c r="C52" s="114" t="s">
        <v>332</v>
      </c>
      <c r="D52" s="87">
        <v>6</v>
      </c>
      <c r="E52" s="87">
        <v>3</v>
      </c>
      <c r="F52" s="87">
        <v>5</v>
      </c>
      <c r="G52" s="87">
        <v>5</v>
      </c>
      <c r="H52" s="87">
        <v>20</v>
      </c>
      <c r="I52" s="87">
        <v>16</v>
      </c>
      <c r="J52" s="87">
        <v>16</v>
      </c>
      <c r="K52" s="87">
        <v>18</v>
      </c>
      <c r="L52" s="87">
        <v>23</v>
      </c>
      <c r="M52" s="10" t="s">
        <v>217</v>
      </c>
    </row>
    <row r="53" spans="1:13" s="3" customFormat="1" ht="24" customHeight="1" x14ac:dyDescent="0.25">
      <c r="A53" s="5">
        <v>37</v>
      </c>
      <c r="B53" s="114" t="s">
        <v>299</v>
      </c>
      <c r="C53" s="114" t="s">
        <v>333</v>
      </c>
      <c r="D53" s="87">
        <v>4</v>
      </c>
      <c r="E53" s="87">
        <v>11</v>
      </c>
      <c r="F53" s="87">
        <v>9</v>
      </c>
      <c r="G53" s="87">
        <v>8</v>
      </c>
      <c r="H53" s="87">
        <v>20</v>
      </c>
      <c r="I53" s="87">
        <v>10</v>
      </c>
      <c r="J53" s="87">
        <v>16</v>
      </c>
      <c r="K53" s="87">
        <v>15</v>
      </c>
      <c r="L53" s="87">
        <v>23</v>
      </c>
      <c r="M53" s="10" t="s">
        <v>217</v>
      </c>
    </row>
    <row r="54" spans="1:13" s="3" customFormat="1" ht="24" customHeight="1" x14ac:dyDescent="0.25">
      <c r="A54" s="86">
        <v>38</v>
      </c>
      <c r="B54" s="114" t="s">
        <v>300</v>
      </c>
      <c r="C54" s="114" t="s">
        <v>334</v>
      </c>
      <c r="D54" s="87">
        <v>3</v>
      </c>
      <c r="E54" s="87">
        <v>9</v>
      </c>
      <c r="F54" s="87">
        <v>15</v>
      </c>
      <c r="G54" s="87">
        <v>9</v>
      </c>
      <c r="H54" s="87">
        <v>20</v>
      </c>
      <c r="I54" s="87">
        <v>10</v>
      </c>
      <c r="J54" s="87">
        <v>16</v>
      </c>
      <c r="K54" s="87">
        <v>15</v>
      </c>
      <c r="L54" s="87">
        <v>24</v>
      </c>
      <c r="M54" s="10" t="s">
        <v>217</v>
      </c>
    </row>
    <row r="55" spans="1:13" s="3" customFormat="1" ht="24" customHeight="1" x14ac:dyDescent="0.25">
      <c r="A55" s="86">
        <v>39</v>
      </c>
      <c r="B55" s="114" t="s">
        <v>301</v>
      </c>
      <c r="C55" s="114" t="s">
        <v>335</v>
      </c>
      <c r="D55" s="87">
        <v>3</v>
      </c>
      <c r="E55" s="87">
        <v>12</v>
      </c>
      <c r="F55" s="87">
        <v>12</v>
      </c>
      <c r="G55" s="87">
        <v>9</v>
      </c>
      <c r="H55" s="87">
        <v>20</v>
      </c>
      <c r="I55" s="87">
        <v>13</v>
      </c>
      <c r="J55" s="87">
        <v>16</v>
      </c>
      <c r="K55" s="87">
        <v>17</v>
      </c>
      <c r="L55" s="87">
        <v>26</v>
      </c>
      <c r="M55" s="10" t="s">
        <v>217</v>
      </c>
    </row>
    <row r="56" spans="1:13" s="3" customFormat="1" ht="24" customHeight="1" x14ac:dyDescent="0.25">
      <c r="A56" s="86">
        <v>40</v>
      </c>
      <c r="B56" s="114" t="s">
        <v>302</v>
      </c>
      <c r="C56" s="114" t="s">
        <v>336</v>
      </c>
      <c r="D56" s="87">
        <v>2</v>
      </c>
      <c r="E56" s="87">
        <v>15</v>
      </c>
      <c r="F56" s="87">
        <v>13</v>
      </c>
      <c r="G56" s="87">
        <v>10</v>
      </c>
      <c r="H56" s="87">
        <v>20</v>
      </c>
      <c r="I56" s="87">
        <v>13</v>
      </c>
      <c r="J56" s="87">
        <v>16</v>
      </c>
      <c r="K56" s="87">
        <v>17</v>
      </c>
      <c r="L56" s="87">
        <v>27</v>
      </c>
      <c r="M56" s="10" t="s">
        <v>217</v>
      </c>
    </row>
    <row r="57" spans="1:13" s="3" customFormat="1" ht="24" customHeight="1" x14ac:dyDescent="0.25">
      <c r="A57" s="5">
        <v>41</v>
      </c>
      <c r="B57" s="114" t="s">
        <v>303</v>
      </c>
      <c r="C57" s="114" t="s">
        <v>337</v>
      </c>
      <c r="D57" s="87">
        <v>6</v>
      </c>
      <c r="E57" s="87">
        <v>3</v>
      </c>
      <c r="F57" s="87">
        <v>8</v>
      </c>
      <c r="G57" s="87">
        <v>6</v>
      </c>
      <c r="H57" s="87">
        <v>20</v>
      </c>
      <c r="I57" s="87">
        <v>14</v>
      </c>
      <c r="J57" s="87">
        <v>16</v>
      </c>
      <c r="K57" s="87">
        <v>17</v>
      </c>
      <c r="L57" s="87">
        <v>23</v>
      </c>
      <c r="M57" s="10" t="s">
        <v>217</v>
      </c>
    </row>
    <row r="58" spans="1:13" s="3" customFormat="1" ht="24" customHeight="1" x14ac:dyDescent="0.25">
      <c r="A58" s="86">
        <v>42</v>
      </c>
      <c r="B58" s="114" t="s">
        <v>304</v>
      </c>
      <c r="C58" s="114" t="s">
        <v>338</v>
      </c>
      <c r="D58" s="87">
        <v>9</v>
      </c>
      <c r="E58" s="87">
        <v>25</v>
      </c>
      <c r="F58" s="87">
        <v>17</v>
      </c>
      <c r="G58" s="87">
        <v>17</v>
      </c>
      <c r="H58" s="87">
        <v>20</v>
      </c>
      <c r="I58" s="87">
        <v>20</v>
      </c>
      <c r="J58" s="87">
        <v>20</v>
      </c>
      <c r="K58" s="87">
        <v>20</v>
      </c>
      <c r="L58" s="87">
        <v>37</v>
      </c>
      <c r="M58" s="10" t="s">
        <v>217</v>
      </c>
    </row>
    <row r="59" spans="1:13" s="3" customFormat="1" ht="21" customHeight="1" x14ac:dyDescent="0.25">
      <c r="A59" s="86">
        <v>43</v>
      </c>
      <c r="B59" s="114" t="s">
        <v>305</v>
      </c>
      <c r="C59" s="114" t="s">
        <v>339</v>
      </c>
      <c r="D59" s="87">
        <v>3</v>
      </c>
      <c r="E59" s="87">
        <v>5</v>
      </c>
      <c r="F59" s="87">
        <v>5</v>
      </c>
      <c r="G59" s="87">
        <v>4</v>
      </c>
      <c r="H59" s="87">
        <v>20</v>
      </c>
      <c r="I59" s="87">
        <v>10</v>
      </c>
      <c r="J59" s="87">
        <v>16</v>
      </c>
      <c r="K59" s="87">
        <v>16</v>
      </c>
      <c r="L59" s="87">
        <v>20</v>
      </c>
      <c r="M59" s="10" t="s">
        <v>217</v>
      </c>
    </row>
    <row r="60" spans="1:13" s="3" customFormat="1" ht="18.75" customHeight="1" x14ac:dyDescent="0.25">
      <c r="A60" s="86">
        <v>44</v>
      </c>
      <c r="B60" s="114" t="s">
        <v>306</v>
      </c>
      <c r="C60" s="114" t="s">
        <v>340</v>
      </c>
      <c r="D60" s="87">
        <v>1</v>
      </c>
      <c r="E60" s="87">
        <v>9</v>
      </c>
      <c r="F60" s="87">
        <v>14</v>
      </c>
      <c r="G60" s="87">
        <v>8</v>
      </c>
      <c r="H60" s="87">
        <v>20</v>
      </c>
      <c r="I60" s="87">
        <v>12</v>
      </c>
      <c r="J60" s="87">
        <v>16</v>
      </c>
      <c r="K60" s="87">
        <v>16</v>
      </c>
      <c r="L60" s="87">
        <v>24</v>
      </c>
      <c r="M60" s="10" t="s">
        <v>217</v>
      </c>
    </row>
    <row r="61" spans="1:13" s="3" customFormat="1" ht="24" customHeight="1" x14ac:dyDescent="0.25">
      <c r="A61" s="5">
        <v>45</v>
      </c>
      <c r="B61" s="114" t="s">
        <v>307</v>
      </c>
      <c r="C61" s="114" t="s">
        <v>341</v>
      </c>
      <c r="D61" s="87">
        <v>5</v>
      </c>
      <c r="E61" s="87">
        <v>3</v>
      </c>
      <c r="F61" s="87">
        <v>6</v>
      </c>
      <c r="G61" s="87">
        <v>5</v>
      </c>
      <c r="H61" s="87">
        <v>17</v>
      </c>
      <c r="I61" s="87">
        <v>12</v>
      </c>
      <c r="J61" s="87">
        <v>16</v>
      </c>
      <c r="K61" s="87">
        <v>15</v>
      </c>
      <c r="L61" s="87">
        <v>20</v>
      </c>
      <c r="M61" s="10" t="s">
        <v>217</v>
      </c>
    </row>
    <row r="62" spans="1:13" s="3" customFormat="1" ht="24" customHeight="1" x14ac:dyDescent="0.25">
      <c r="A62" s="86">
        <v>46</v>
      </c>
      <c r="B62" s="114" t="s">
        <v>308</v>
      </c>
      <c r="C62" s="114" t="s">
        <v>342</v>
      </c>
      <c r="D62" s="87">
        <v>3</v>
      </c>
      <c r="E62" s="87">
        <v>2</v>
      </c>
      <c r="F62" s="87">
        <v>2</v>
      </c>
      <c r="G62" s="87">
        <v>3</v>
      </c>
      <c r="H62" s="87">
        <v>20</v>
      </c>
      <c r="I62" s="87">
        <v>12</v>
      </c>
      <c r="J62" s="87">
        <v>20</v>
      </c>
      <c r="K62" s="87">
        <v>18</v>
      </c>
      <c r="L62" s="87">
        <v>21</v>
      </c>
      <c r="M62" s="10" t="s">
        <v>217</v>
      </c>
    </row>
    <row r="63" spans="1:13" s="3" customFormat="1" ht="19.5" customHeight="1" x14ac:dyDescent="0.25">
      <c r="A63" s="86">
        <v>47</v>
      </c>
      <c r="B63" s="114" t="s">
        <v>309</v>
      </c>
      <c r="C63" s="114" t="s">
        <v>343</v>
      </c>
      <c r="D63" s="87">
        <v>4</v>
      </c>
      <c r="E63" s="87">
        <v>12</v>
      </c>
      <c r="F63" s="87">
        <v>6</v>
      </c>
      <c r="G63" s="87">
        <v>7</v>
      </c>
      <c r="H63" s="87">
        <v>20</v>
      </c>
      <c r="I63" s="87">
        <v>15</v>
      </c>
      <c r="J63" s="87">
        <v>16</v>
      </c>
      <c r="K63" s="87">
        <v>17</v>
      </c>
      <c r="L63" s="87">
        <v>24</v>
      </c>
      <c r="M63" s="10" t="s">
        <v>217</v>
      </c>
    </row>
    <row r="64" spans="1:13" s="3" customFormat="1" ht="18.75" customHeight="1" x14ac:dyDescent="0.25">
      <c r="A64" s="86">
        <v>48</v>
      </c>
      <c r="B64" s="114" t="s">
        <v>310</v>
      </c>
      <c r="C64" s="114" t="s">
        <v>344</v>
      </c>
      <c r="D64" s="87">
        <v>1</v>
      </c>
      <c r="E64" s="87">
        <v>17</v>
      </c>
      <c r="F64" s="87">
        <v>19</v>
      </c>
      <c r="G64" s="87">
        <v>13</v>
      </c>
      <c r="H64" s="87">
        <v>20</v>
      </c>
      <c r="I64" s="87">
        <v>10</v>
      </c>
      <c r="J64" s="87">
        <v>20</v>
      </c>
      <c r="K64" s="87">
        <v>17</v>
      </c>
      <c r="L64" s="87">
        <v>30</v>
      </c>
      <c r="M64" s="10" t="s">
        <v>217</v>
      </c>
    </row>
    <row r="65" spans="1:13" s="3" customFormat="1" ht="18.75" customHeight="1" x14ac:dyDescent="0.25">
      <c r="A65" s="5">
        <v>49</v>
      </c>
      <c r="B65" s="114" t="s">
        <v>311</v>
      </c>
      <c r="C65" s="114" t="s">
        <v>345</v>
      </c>
      <c r="D65" s="87">
        <v>2</v>
      </c>
      <c r="E65" s="87">
        <v>10</v>
      </c>
      <c r="F65" s="87">
        <v>11</v>
      </c>
      <c r="G65" s="87">
        <v>7</v>
      </c>
      <c r="H65" s="87">
        <v>20</v>
      </c>
      <c r="I65" s="87">
        <v>16</v>
      </c>
      <c r="J65" s="87">
        <v>16</v>
      </c>
      <c r="K65" s="87">
        <v>17</v>
      </c>
      <c r="L65" s="87">
        <v>24</v>
      </c>
      <c r="M65" s="10" t="s">
        <v>217</v>
      </c>
    </row>
    <row r="66" spans="1:13" s="3" customFormat="1" ht="18" customHeight="1" x14ac:dyDescent="0.25">
      <c r="A66" s="86">
        <v>50</v>
      </c>
      <c r="B66" s="114" t="s">
        <v>312</v>
      </c>
      <c r="C66" s="114" t="s">
        <v>346</v>
      </c>
      <c r="D66" s="89">
        <v>2</v>
      </c>
      <c r="E66" s="89">
        <v>7</v>
      </c>
      <c r="F66" s="87">
        <v>12</v>
      </c>
      <c r="G66" s="87">
        <v>7</v>
      </c>
      <c r="H66" s="87">
        <v>16</v>
      </c>
      <c r="I66" s="87">
        <v>20</v>
      </c>
      <c r="J66" s="87">
        <v>16</v>
      </c>
      <c r="K66" s="87">
        <v>18</v>
      </c>
      <c r="L66" s="87">
        <v>25</v>
      </c>
      <c r="M66" s="10" t="s">
        <v>217</v>
      </c>
    </row>
    <row r="67" spans="1:13" s="3" customFormat="1" ht="18" customHeight="1" x14ac:dyDescent="0.25">
      <c r="A67" s="86">
        <v>51</v>
      </c>
      <c r="B67" s="114" t="s">
        <v>313</v>
      </c>
      <c r="C67" s="114" t="s">
        <v>347</v>
      </c>
      <c r="D67" s="89">
        <v>0</v>
      </c>
      <c r="E67" s="89">
        <v>13</v>
      </c>
      <c r="F67" s="87">
        <v>10</v>
      </c>
      <c r="G67" s="87">
        <v>7</v>
      </c>
      <c r="H67" s="87">
        <v>20</v>
      </c>
      <c r="I67" s="87">
        <v>10</v>
      </c>
      <c r="J67" s="87">
        <v>16</v>
      </c>
      <c r="K67" s="87">
        <v>15</v>
      </c>
      <c r="L67" s="87">
        <v>22</v>
      </c>
      <c r="M67" s="10" t="s">
        <v>217</v>
      </c>
    </row>
    <row r="68" spans="1:13" x14ac:dyDescent="0.3">
      <c r="A68" s="100">
        <v>52</v>
      </c>
      <c r="B68" s="114" t="s">
        <v>314</v>
      </c>
      <c r="C68" s="114" t="s">
        <v>348</v>
      </c>
      <c r="D68" s="125">
        <v>14</v>
      </c>
      <c r="E68" s="126">
        <v>16</v>
      </c>
      <c r="F68" s="101">
        <v>18</v>
      </c>
      <c r="G68" s="101">
        <v>16</v>
      </c>
      <c r="H68" s="101">
        <v>20</v>
      </c>
      <c r="I68" s="101">
        <v>15</v>
      </c>
      <c r="J68" s="101">
        <v>20</v>
      </c>
      <c r="K68" s="101">
        <v>18</v>
      </c>
      <c r="L68" s="101">
        <v>34</v>
      </c>
      <c r="M68" s="103" t="s">
        <v>217</v>
      </c>
    </row>
    <row r="69" spans="1:13" x14ac:dyDescent="0.3">
      <c r="A69" s="5">
        <v>53</v>
      </c>
      <c r="B69" s="114" t="s">
        <v>315</v>
      </c>
      <c r="C69" s="114" t="s">
        <v>349</v>
      </c>
      <c r="D69" s="89">
        <v>6</v>
      </c>
      <c r="E69" s="123">
        <v>13</v>
      </c>
      <c r="F69" s="87">
        <v>14</v>
      </c>
      <c r="G69" s="87">
        <v>11</v>
      </c>
      <c r="H69" s="87">
        <v>20</v>
      </c>
      <c r="I69" s="87">
        <v>15</v>
      </c>
      <c r="J69" s="87">
        <v>16</v>
      </c>
      <c r="K69" s="87">
        <v>17</v>
      </c>
      <c r="L69" s="87">
        <v>28</v>
      </c>
      <c r="M69" s="10" t="s">
        <v>217</v>
      </c>
    </row>
    <row r="70" spans="1:13" x14ac:dyDescent="0.3">
      <c r="A70" s="86">
        <v>54</v>
      </c>
      <c r="B70" s="114" t="s">
        <v>316</v>
      </c>
      <c r="C70" s="114" t="s">
        <v>350</v>
      </c>
      <c r="D70" s="89">
        <v>5</v>
      </c>
      <c r="E70" s="123">
        <v>4</v>
      </c>
      <c r="F70" s="87">
        <v>1</v>
      </c>
      <c r="G70" s="87">
        <v>3</v>
      </c>
      <c r="H70" s="87">
        <v>20</v>
      </c>
      <c r="I70" s="87">
        <v>15</v>
      </c>
      <c r="J70" s="87">
        <v>16</v>
      </c>
      <c r="K70" s="87">
        <v>17</v>
      </c>
      <c r="L70" s="87">
        <v>20</v>
      </c>
      <c r="M70" s="10" t="s">
        <v>217</v>
      </c>
    </row>
    <row r="71" spans="1:13" x14ac:dyDescent="0.3">
      <c r="A71" s="92">
        <v>55</v>
      </c>
      <c r="B71" s="114" t="s">
        <v>317</v>
      </c>
      <c r="C71" s="114" t="s">
        <v>351</v>
      </c>
      <c r="D71" s="122">
        <v>4</v>
      </c>
      <c r="E71" s="122">
        <v>5</v>
      </c>
      <c r="F71" s="93">
        <v>3</v>
      </c>
      <c r="G71" s="93">
        <v>4</v>
      </c>
      <c r="H71" s="93">
        <v>20</v>
      </c>
      <c r="I71" s="93">
        <v>12</v>
      </c>
      <c r="J71" s="93">
        <v>16</v>
      </c>
      <c r="K71" s="93">
        <v>16</v>
      </c>
      <c r="L71" s="93">
        <v>20</v>
      </c>
      <c r="M71" s="94" t="s">
        <v>217</v>
      </c>
    </row>
    <row r="72" spans="1:13" s="3" customFormat="1" x14ac:dyDescent="0.3">
      <c r="A72" s="86">
        <v>56</v>
      </c>
      <c r="B72" s="114" t="s">
        <v>318</v>
      </c>
      <c r="C72" s="114" t="s">
        <v>352</v>
      </c>
      <c r="D72" s="121">
        <v>6</v>
      </c>
      <c r="E72" s="121">
        <v>1</v>
      </c>
      <c r="F72" s="87">
        <v>13</v>
      </c>
      <c r="G72" s="87">
        <v>7</v>
      </c>
      <c r="H72" s="87">
        <v>20</v>
      </c>
      <c r="I72" s="87">
        <v>16</v>
      </c>
      <c r="J72" s="87">
        <v>16</v>
      </c>
      <c r="K72" s="87">
        <v>18</v>
      </c>
      <c r="L72" s="87">
        <v>25</v>
      </c>
      <c r="M72" s="10" t="s">
        <v>217</v>
      </c>
    </row>
    <row r="73" spans="1:13" s="3" customFormat="1" x14ac:dyDescent="0.3">
      <c r="A73" s="5">
        <v>57</v>
      </c>
      <c r="B73" s="114" t="s">
        <v>319</v>
      </c>
      <c r="C73" s="114" t="s">
        <v>353</v>
      </c>
      <c r="D73" s="121">
        <v>2</v>
      </c>
      <c r="E73" s="121">
        <v>2</v>
      </c>
      <c r="F73" s="87">
        <v>6</v>
      </c>
      <c r="G73" s="87">
        <v>5</v>
      </c>
      <c r="H73" s="87">
        <v>20</v>
      </c>
      <c r="I73" s="87">
        <v>10</v>
      </c>
      <c r="J73" s="87">
        <v>16</v>
      </c>
      <c r="K73" s="87">
        <v>15</v>
      </c>
      <c r="L73" s="87">
        <v>20</v>
      </c>
      <c r="M73" s="10" t="s">
        <v>217</v>
      </c>
    </row>
    <row r="74" spans="1:13" s="3" customFormat="1" x14ac:dyDescent="0.3">
      <c r="A74" s="119">
        <v>58</v>
      </c>
      <c r="B74" s="114" t="s">
        <v>320</v>
      </c>
      <c r="C74" s="114" t="s">
        <v>354</v>
      </c>
      <c r="D74" s="121">
        <v>0</v>
      </c>
      <c r="E74" s="121">
        <v>1</v>
      </c>
      <c r="F74" s="121">
        <v>6</v>
      </c>
      <c r="G74" s="120">
        <v>3</v>
      </c>
      <c r="H74" s="120">
        <v>20</v>
      </c>
      <c r="I74" s="121">
        <v>11</v>
      </c>
      <c r="J74" s="120">
        <v>20</v>
      </c>
      <c r="K74" s="120">
        <v>17</v>
      </c>
      <c r="L74" s="120">
        <v>20</v>
      </c>
    </row>
    <row r="75" spans="1:13" s="14" customFormat="1" x14ac:dyDescent="0.3">
      <c r="B75" s="116"/>
      <c r="C75" s="116"/>
      <c r="D75" s="111"/>
      <c r="G75" s="117"/>
      <c r="H75" s="117"/>
      <c r="J75" s="117"/>
      <c r="K75" s="117"/>
      <c r="L75" s="118"/>
    </row>
    <row r="76" spans="1:13" ht="15.75" x14ac:dyDescent="0.25">
      <c r="B76" s="37" t="s">
        <v>179</v>
      </c>
      <c r="C76" s="112"/>
      <c r="D76" s="115"/>
      <c r="E76" s="37"/>
      <c r="G76" s="210" t="s">
        <v>178</v>
      </c>
      <c r="H76" s="210"/>
      <c r="I76" s="210"/>
      <c r="J76" s="210"/>
      <c r="K76" s="90" t="s">
        <v>138</v>
      </c>
      <c r="L76" s="90"/>
      <c r="M76" s="90"/>
    </row>
    <row r="77" spans="1:13" x14ac:dyDescent="0.3">
      <c r="C77" s="112"/>
      <c r="D77" s="115"/>
      <c r="G77"/>
      <c r="I77" s="52"/>
      <c r="J77"/>
      <c r="L77" s="52"/>
      <c r="M77" s="53"/>
    </row>
    <row r="78" spans="1:13" x14ac:dyDescent="0.3">
      <c r="C78" s="112"/>
      <c r="D78" s="115"/>
      <c r="G78"/>
      <c r="I78" s="52"/>
      <c r="J78"/>
      <c r="L78" s="52"/>
      <c r="M78" s="53"/>
    </row>
    <row r="79" spans="1:13" x14ac:dyDescent="0.3">
      <c r="C79" s="112"/>
      <c r="D79" s="115"/>
      <c r="G79"/>
      <c r="I79" s="52"/>
      <c r="J79"/>
      <c r="L79" s="52"/>
      <c r="M79" s="53"/>
    </row>
    <row r="80" spans="1:13" x14ac:dyDescent="0.3">
      <c r="C80" s="112"/>
      <c r="D80" s="115"/>
      <c r="G80"/>
      <c r="I80" s="52"/>
      <c r="J80"/>
      <c r="L80" s="52"/>
      <c r="M80" s="53"/>
    </row>
    <row r="81" spans="3:14" x14ac:dyDescent="0.3">
      <c r="C81" s="112"/>
      <c r="D81" s="115"/>
      <c r="G81"/>
      <c r="I81" s="52"/>
      <c r="J81"/>
      <c r="L81" s="52"/>
      <c r="M81" s="53"/>
    </row>
    <row r="82" spans="3:14" x14ac:dyDescent="0.3">
      <c r="G82"/>
      <c r="I82" s="52"/>
      <c r="J82"/>
      <c r="L82" s="52"/>
      <c r="M82" s="53"/>
      <c r="N82" s="90"/>
    </row>
  </sheetData>
  <mergeCells count="32">
    <mergeCell ref="D46:L46"/>
    <mergeCell ref="G76:J76"/>
    <mergeCell ref="F35:I35"/>
    <mergeCell ref="M7:M9"/>
    <mergeCell ref="M38:M40"/>
    <mergeCell ref="J35:M35"/>
    <mergeCell ref="L7:L8"/>
    <mergeCell ref="K7:K8"/>
    <mergeCell ref="J7:J8"/>
    <mergeCell ref="D11:L11"/>
    <mergeCell ref="D29:L29"/>
    <mergeCell ref="D31:L31"/>
    <mergeCell ref="D33:L33"/>
    <mergeCell ref="D17:L17"/>
    <mergeCell ref="A38:A40"/>
    <mergeCell ref="B38:B40"/>
    <mergeCell ref="C38:C40"/>
    <mergeCell ref="K38:K39"/>
    <mergeCell ref="L38:L39"/>
    <mergeCell ref="G38:G39"/>
    <mergeCell ref="J38:J39"/>
    <mergeCell ref="A7:A9"/>
    <mergeCell ref="B7:B9"/>
    <mergeCell ref="C7:C9"/>
    <mergeCell ref="A37:C37"/>
    <mergeCell ref="G7:G8"/>
    <mergeCell ref="A1:M1"/>
    <mergeCell ref="A2:M2"/>
    <mergeCell ref="A4:M4"/>
    <mergeCell ref="A5:M5"/>
    <mergeCell ref="A6:M6"/>
    <mergeCell ref="A3:M3"/>
  </mergeCells>
  <printOptions horizontalCentered="1"/>
  <pageMargins left="0.2" right="0.2" top="0" bottom="0" header="0" footer="0"/>
  <pageSetup paperSize="9" scale="70" orientation="landscape" verticalDpi="0" r:id="rId1"/>
  <rowBreaks count="1" manualBreakCount="1">
    <brk id="37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N89"/>
  <sheetViews>
    <sheetView tabSelected="1" topLeftCell="A46" zoomScale="90" zoomScaleNormal="90" workbookViewId="0">
      <selection activeCell="D63" sqref="D63"/>
    </sheetView>
  </sheetViews>
  <sheetFormatPr defaultRowHeight="15" x14ac:dyDescent="0.25"/>
  <cols>
    <col min="1" max="1" width="5" customWidth="1"/>
    <col min="2" max="2" width="18.7109375" customWidth="1"/>
    <col min="3" max="3" width="42.85546875" customWidth="1"/>
    <col min="4" max="4" width="12.7109375" style="111" customWidth="1"/>
    <col min="5" max="6" width="12.7109375" customWidth="1"/>
    <col min="7" max="7" width="13.42578125" style="52" customWidth="1"/>
    <col min="8" max="8" width="12.7109375" style="52" customWidth="1"/>
    <col min="9" max="9" width="12.7109375" customWidth="1"/>
    <col min="10" max="10" width="16.7109375" style="52" customWidth="1"/>
    <col min="11" max="11" width="15" style="52" customWidth="1"/>
    <col min="12" max="12" width="14.140625" style="14" customWidth="1"/>
    <col min="13" max="13" width="10.7109375" style="14" customWidth="1"/>
    <col min="14" max="14" width="11" style="14" customWidth="1"/>
  </cols>
  <sheetData>
    <row r="1" spans="1:33" s="34" customFormat="1" ht="15" customHeight="1" x14ac:dyDescent="0.35">
      <c r="A1" s="279" t="s">
        <v>135</v>
      </c>
      <c r="B1" s="280"/>
      <c r="C1" s="280"/>
      <c r="D1" s="280"/>
      <c r="E1" s="280"/>
      <c r="F1" s="280"/>
      <c r="G1" s="280"/>
      <c r="H1" s="280"/>
      <c r="I1" s="280"/>
      <c r="J1" s="280"/>
      <c r="K1" s="280"/>
      <c r="L1" s="280"/>
      <c r="M1" s="145"/>
      <c r="N1" s="129"/>
      <c r="P1" s="129"/>
      <c r="Q1" s="129"/>
      <c r="R1" s="129"/>
      <c r="S1" s="129"/>
      <c r="T1" s="129"/>
      <c r="U1" s="129"/>
      <c r="V1" s="129"/>
      <c r="W1" s="129"/>
      <c r="X1" s="129"/>
      <c r="Y1" s="129"/>
      <c r="Z1" s="129"/>
      <c r="AA1" s="129"/>
      <c r="AB1" s="129"/>
      <c r="AC1" s="129"/>
      <c r="AD1" s="129"/>
      <c r="AE1" s="129"/>
      <c r="AF1" s="129"/>
      <c r="AG1" s="129"/>
    </row>
    <row r="2" spans="1:33" s="34" customFormat="1" ht="15" customHeight="1" x14ac:dyDescent="0.35">
      <c r="A2" s="282" t="s">
        <v>136</v>
      </c>
      <c r="B2" s="283"/>
      <c r="C2" s="283"/>
      <c r="D2" s="283"/>
      <c r="E2" s="283"/>
      <c r="F2" s="283"/>
      <c r="G2" s="283"/>
      <c r="H2" s="283"/>
      <c r="I2" s="283"/>
      <c r="J2" s="283"/>
      <c r="K2" s="283"/>
      <c r="L2" s="283"/>
      <c r="M2" s="146"/>
      <c r="N2" s="129"/>
      <c r="O2" s="129"/>
      <c r="P2" s="129"/>
      <c r="Q2" s="129"/>
      <c r="R2" s="129"/>
      <c r="S2" s="129"/>
      <c r="T2" s="129"/>
      <c r="U2" s="129"/>
      <c r="V2" s="129"/>
      <c r="W2" s="129"/>
      <c r="X2" s="129"/>
      <c r="Y2" s="129"/>
      <c r="Z2" s="129"/>
      <c r="AA2" s="129"/>
      <c r="AB2" s="129"/>
      <c r="AC2" s="129"/>
      <c r="AD2" s="129"/>
      <c r="AE2" s="129"/>
      <c r="AF2" s="129"/>
      <c r="AG2" s="129"/>
    </row>
    <row r="3" spans="1:33" s="34" customFormat="1" ht="15" customHeight="1" x14ac:dyDescent="0.35">
      <c r="A3" s="282" t="s">
        <v>236</v>
      </c>
      <c r="B3" s="283"/>
      <c r="C3" s="283"/>
      <c r="D3" s="283"/>
      <c r="E3" s="283"/>
      <c r="F3" s="283"/>
      <c r="G3" s="283"/>
      <c r="H3" s="283"/>
      <c r="I3" s="283"/>
      <c r="J3" s="283"/>
      <c r="K3" s="283"/>
      <c r="L3" s="283"/>
      <c r="M3" s="146"/>
      <c r="N3" s="129"/>
      <c r="O3" s="129"/>
      <c r="P3" s="129"/>
      <c r="Q3" s="129"/>
      <c r="R3" s="129"/>
      <c r="S3" s="129"/>
      <c r="T3" s="129"/>
      <c r="U3" s="129"/>
      <c r="V3" s="129"/>
      <c r="W3" s="129"/>
      <c r="X3" s="129"/>
      <c r="Y3" s="129"/>
      <c r="Z3" s="129"/>
      <c r="AA3" s="129"/>
      <c r="AB3" s="129"/>
      <c r="AC3" s="129"/>
      <c r="AD3" s="129"/>
      <c r="AE3" s="129"/>
      <c r="AF3" s="129"/>
      <c r="AG3" s="129"/>
    </row>
    <row r="4" spans="1:33" s="36" customFormat="1" ht="15" customHeight="1" x14ac:dyDescent="0.25">
      <c r="A4" s="285" t="s">
        <v>235</v>
      </c>
      <c r="B4" s="286"/>
      <c r="C4" s="286"/>
      <c r="D4" s="286"/>
      <c r="E4" s="286"/>
      <c r="F4" s="286"/>
      <c r="G4" s="286"/>
      <c r="H4" s="286"/>
      <c r="I4" s="286"/>
      <c r="J4" s="286"/>
      <c r="K4" s="286"/>
      <c r="L4" s="286"/>
      <c r="M4" s="147"/>
      <c r="N4" s="130"/>
      <c r="O4" s="130"/>
      <c r="P4" s="130"/>
      <c r="Q4" s="130"/>
      <c r="R4" s="130"/>
      <c r="S4" s="130"/>
      <c r="T4" s="130"/>
      <c r="U4" s="130"/>
      <c r="V4" s="130"/>
      <c r="W4" s="130"/>
      <c r="X4" s="130"/>
      <c r="Y4" s="130"/>
      <c r="Z4" s="130"/>
      <c r="AA4" s="130"/>
      <c r="AB4" s="130"/>
      <c r="AC4" s="130"/>
      <c r="AD4" s="130"/>
      <c r="AE4" s="130"/>
      <c r="AF4" s="130"/>
      <c r="AG4" s="130"/>
    </row>
    <row r="5" spans="1:33" s="36" customFormat="1" ht="15" customHeight="1" x14ac:dyDescent="0.25">
      <c r="A5" s="285" t="s">
        <v>366</v>
      </c>
      <c r="B5" s="286"/>
      <c r="C5" s="286"/>
      <c r="D5" s="286"/>
      <c r="E5" s="286"/>
      <c r="F5" s="286"/>
      <c r="G5" s="286"/>
      <c r="H5" s="286"/>
      <c r="I5" s="286"/>
      <c r="J5" s="286"/>
      <c r="K5" s="286"/>
      <c r="L5" s="286"/>
      <c r="M5" s="147"/>
      <c r="N5" s="130"/>
      <c r="O5" s="130"/>
      <c r="P5" s="130"/>
      <c r="Q5" s="130"/>
      <c r="R5" s="130"/>
      <c r="S5" s="130"/>
      <c r="T5" s="130"/>
      <c r="U5" s="130"/>
      <c r="V5" s="130"/>
      <c r="W5" s="130"/>
      <c r="X5" s="130"/>
      <c r="Y5" s="130"/>
      <c r="Z5" s="130"/>
      <c r="AA5" s="130"/>
      <c r="AB5" s="130"/>
      <c r="AC5" s="130"/>
      <c r="AD5" s="130"/>
      <c r="AE5" s="130"/>
      <c r="AF5" s="130"/>
      <c r="AG5" s="130"/>
    </row>
    <row r="6" spans="1:33" s="36" customFormat="1" ht="15" customHeight="1" thickBot="1" x14ac:dyDescent="0.3">
      <c r="A6" s="288" t="s">
        <v>440</v>
      </c>
      <c r="B6" s="289"/>
      <c r="C6" s="289"/>
      <c r="D6" s="289"/>
      <c r="E6" s="289"/>
      <c r="F6" s="289"/>
      <c r="G6" s="289"/>
      <c r="H6" s="289"/>
      <c r="I6" s="289"/>
      <c r="J6" s="289"/>
      <c r="K6" s="289"/>
      <c r="L6" s="289"/>
      <c r="M6" s="148"/>
      <c r="N6" s="130"/>
      <c r="O6" s="130"/>
      <c r="P6" s="130"/>
      <c r="Q6" s="130"/>
      <c r="R6" s="130"/>
      <c r="S6" s="130"/>
      <c r="T6" s="130"/>
      <c r="U6" s="130"/>
      <c r="V6" s="130"/>
      <c r="W6" s="130"/>
      <c r="X6" s="130"/>
      <c r="Y6" s="130"/>
      <c r="Z6" s="130"/>
      <c r="AA6" s="130"/>
      <c r="AB6" s="130"/>
      <c r="AC6" s="130"/>
      <c r="AD6" s="130"/>
      <c r="AE6" s="130"/>
      <c r="AF6" s="130"/>
      <c r="AG6" s="130"/>
    </row>
    <row r="7" spans="1:33" s="25" customFormat="1" ht="43.5" customHeight="1" x14ac:dyDescent="0.25">
      <c r="A7" s="334" t="s">
        <v>2</v>
      </c>
      <c r="B7" s="336" t="s">
        <v>1</v>
      </c>
      <c r="C7" s="338" t="s">
        <v>3</v>
      </c>
      <c r="D7" s="153" t="s">
        <v>150</v>
      </c>
      <c r="E7" s="153" t="s">
        <v>151</v>
      </c>
      <c r="F7" s="153" t="s">
        <v>152</v>
      </c>
      <c r="G7" s="331" t="s">
        <v>153</v>
      </c>
      <c r="H7" s="153" t="s">
        <v>368</v>
      </c>
      <c r="I7" s="153" t="s">
        <v>369</v>
      </c>
      <c r="J7" s="171" t="s">
        <v>370</v>
      </c>
      <c r="K7" s="331" t="s">
        <v>371</v>
      </c>
      <c r="L7" s="319" t="s">
        <v>154</v>
      </c>
      <c r="M7" s="321" t="s">
        <v>234</v>
      </c>
      <c r="N7" s="127"/>
      <c r="O7" s="127"/>
      <c r="P7" s="127"/>
      <c r="Q7" s="127"/>
      <c r="R7" s="127"/>
      <c r="S7" s="127"/>
      <c r="T7" s="127"/>
      <c r="U7" s="127"/>
      <c r="V7" s="127"/>
      <c r="W7" s="127"/>
      <c r="X7" s="127"/>
      <c r="Y7" s="127"/>
      <c r="Z7" s="127"/>
      <c r="AA7" s="127"/>
      <c r="AB7" s="127"/>
      <c r="AC7" s="127"/>
      <c r="AD7" s="127"/>
      <c r="AE7" s="127"/>
      <c r="AF7" s="127"/>
      <c r="AG7" s="127"/>
    </row>
    <row r="8" spans="1:33" s="25" customFormat="1" ht="39" customHeight="1" x14ac:dyDescent="0.25">
      <c r="A8" s="291"/>
      <c r="B8" s="293"/>
      <c r="C8" s="339"/>
      <c r="D8" s="57" t="s">
        <v>155</v>
      </c>
      <c r="E8" s="57" t="s">
        <v>227</v>
      </c>
      <c r="F8" s="57" t="s">
        <v>228</v>
      </c>
      <c r="G8" s="332"/>
      <c r="H8" s="57" t="s">
        <v>359</v>
      </c>
      <c r="I8" s="81" t="s">
        <v>358</v>
      </c>
      <c r="J8" s="172" t="s">
        <v>360</v>
      </c>
      <c r="K8" s="332"/>
      <c r="L8" s="320"/>
      <c r="M8" s="309"/>
      <c r="N8" s="127"/>
      <c r="O8" s="127"/>
      <c r="P8" s="127"/>
      <c r="Q8" s="127"/>
      <c r="R8" s="127"/>
      <c r="S8" s="127"/>
      <c r="T8" s="127"/>
      <c r="U8" s="127"/>
      <c r="V8" s="127"/>
      <c r="W8" s="127"/>
      <c r="X8" s="127"/>
      <c r="Y8" s="127"/>
      <c r="Z8" s="127"/>
      <c r="AA8" s="127"/>
      <c r="AB8" s="127"/>
      <c r="AC8" s="127"/>
      <c r="AD8" s="127"/>
      <c r="AE8" s="127"/>
      <c r="AF8" s="127"/>
      <c r="AG8" s="127"/>
    </row>
    <row r="9" spans="1:33" s="54" customFormat="1" ht="19.149999999999999" customHeight="1" thickBot="1" x14ac:dyDescent="0.3">
      <c r="A9" s="335"/>
      <c r="B9" s="337"/>
      <c r="C9" s="340"/>
      <c r="D9" s="173">
        <v>30</v>
      </c>
      <c r="E9" s="173">
        <v>30</v>
      </c>
      <c r="F9" s="173">
        <v>30</v>
      </c>
      <c r="G9" s="156">
        <v>30</v>
      </c>
      <c r="H9" s="173">
        <v>20</v>
      </c>
      <c r="I9" s="173">
        <v>20</v>
      </c>
      <c r="J9" s="157">
        <v>20</v>
      </c>
      <c r="K9" s="157">
        <v>10</v>
      </c>
      <c r="L9" s="158">
        <v>60</v>
      </c>
      <c r="M9" s="322"/>
      <c r="N9" s="128"/>
      <c r="O9" s="128"/>
      <c r="P9" s="128"/>
      <c r="Q9" s="128"/>
      <c r="R9" s="128"/>
      <c r="S9" s="128"/>
      <c r="T9" s="128"/>
      <c r="U9" s="128"/>
      <c r="V9" s="128"/>
      <c r="W9" s="128"/>
      <c r="X9" s="128"/>
      <c r="Y9" s="128"/>
      <c r="Z9" s="128"/>
      <c r="AA9" s="128"/>
      <c r="AB9" s="128"/>
      <c r="AC9" s="128"/>
      <c r="AD9" s="128"/>
      <c r="AE9" s="128"/>
      <c r="AF9" s="128"/>
      <c r="AG9" s="128"/>
    </row>
    <row r="10" spans="1:33" s="102" customFormat="1" ht="24" customHeight="1" x14ac:dyDescent="0.3">
      <c r="A10" s="154">
        <v>1</v>
      </c>
      <c r="B10" s="155" t="s">
        <v>356</v>
      </c>
      <c r="C10" s="155" t="s">
        <v>357</v>
      </c>
      <c r="D10" s="195">
        <v>18</v>
      </c>
      <c r="E10" s="195">
        <v>21</v>
      </c>
      <c r="F10" s="195">
        <v>24</v>
      </c>
      <c r="G10" s="195">
        <f>AVERAGE((D10:F10))</f>
        <v>21</v>
      </c>
      <c r="H10" s="195">
        <v>20</v>
      </c>
      <c r="I10" s="195">
        <v>20</v>
      </c>
      <c r="J10" s="195">
        <f>AVERAGE(H10:I10)</f>
        <v>20</v>
      </c>
      <c r="K10" s="195">
        <v>10</v>
      </c>
      <c r="L10" s="196">
        <f>SUM(G10,J10,K10)</f>
        <v>51</v>
      </c>
      <c r="M10" s="199" t="s">
        <v>217</v>
      </c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</row>
    <row r="11" spans="1:33" s="102" customFormat="1" ht="24" customHeight="1" x14ac:dyDescent="0.3">
      <c r="A11" s="141">
        <v>2</v>
      </c>
      <c r="B11" s="137" t="s">
        <v>238</v>
      </c>
      <c r="C11" s="137" t="s">
        <v>262</v>
      </c>
      <c r="D11" s="131">
        <v>10</v>
      </c>
      <c r="E11" s="131">
        <v>8</v>
      </c>
      <c r="F11" s="131">
        <v>12</v>
      </c>
      <c r="G11" s="131">
        <v>10</v>
      </c>
      <c r="H11" s="131">
        <v>10</v>
      </c>
      <c r="I11" s="131">
        <v>16</v>
      </c>
      <c r="J11" s="131">
        <v>13</v>
      </c>
      <c r="K11" s="131">
        <v>10</v>
      </c>
      <c r="L11" s="197">
        <v>33</v>
      </c>
      <c r="M11" s="199" t="s">
        <v>217</v>
      </c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</row>
    <row r="12" spans="1:33" s="102" customFormat="1" ht="24" customHeight="1" x14ac:dyDescent="0.3">
      <c r="A12" s="141">
        <v>3</v>
      </c>
      <c r="B12" s="137" t="s">
        <v>240</v>
      </c>
      <c r="C12" s="137" t="s">
        <v>264</v>
      </c>
      <c r="D12" s="131">
        <v>29</v>
      </c>
      <c r="E12" s="131">
        <v>18</v>
      </c>
      <c r="F12" s="131">
        <v>25</v>
      </c>
      <c r="G12" s="131">
        <v>24</v>
      </c>
      <c r="H12" s="131">
        <v>18</v>
      </c>
      <c r="I12" s="131">
        <v>20</v>
      </c>
      <c r="J12" s="131">
        <v>19</v>
      </c>
      <c r="K12" s="131">
        <v>10</v>
      </c>
      <c r="L12" s="197">
        <v>53</v>
      </c>
      <c r="M12" s="199" t="s">
        <v>217</v>
      </c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</row>
    <row r="13" spans="1:33" s="102" customFormat="1" ht="24" customHeight="1" x14ac:dyDescent="0.3">
      <c r="A13" s="141">
        <v>4</v>
      </c>
      <c r="B13" s="137" t="s">
        <v>241</v>
      </c>
      <c r="C13" s="137" t="s">
        <v>265</v>
      </c>
      <c r="D13" s="131">
        <v>29</v>
      </c>
      <c r="E13" s="131">
        <v>25</v>
      </c>
      <c r="F13" s="131">
        <v>25</v>
      </c>
      <c r="G13" s="131">
        <v>27</v>
      </c>
      <c r="H13" s="131">
        <v>18</v>
      </c>
      <c r="I13" s="131">
        <v>20</v>
      </c>
      <c r="J13" s="131">
        <v>19</v>
      </c>
      <c r="K13" s="131">
        <v>10</v>
      </c>
      <c r="L13" s="197">
        <v>56</v>
      </c>
      <c r="M13" s="199" t="s">
        <v>217</v>
      </c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</row>
    <row r="14" spans="1:33" s="102" customFormat="1" ht="24" customHeight="1" x14ac:dyDescent="0.3">
      <c r="A14" s="141">
        <v>5</v>
      </c>
      <c r="B14" s="137" t="s">
        <v>242</v>
      </c>
      <c r="C14" s="137" t="s">
        <v>266</v>
      </c>
      <c r="D14" s="131">
        <v>29</v>
      </c>
      <c r="E14" s="131">
        <v>24</v>
      </c>
      <c r="F14" s="131">
        <v>23</v>
      </c>
      <c r="G14" s="131">
        <v>26</v>
      </c>
      <c r="H14" s="131">
        <v>20</v>
      </c>
      <c r="I14" s="131">
        <v>20</v>
      </c>
      <c r="J14" s="131">
        <v>20</v>
      </c>
      <c r="K14" s="131">
        <v>10</v>
      </c>
      <c r="L14" s="197">
        <v>56</v>
      </c>
      <c r="M14" s="199" t="s">
        <v>217</v>
      </c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</row>
    <row r="15" spans="1:33" s="102" customFormat="1" ht="24" customHeight="1" x14ac:dyDescent="0.3">
      <c r="A15" s="141">
        <v>6</v>
      </c>
      <c r="B15" s="137" t="s">
        <v>243</v>
      </c>
      <c r="C15" s="137" t="s">
        <v>267</v>
      </c>
      <c r="D15" s="131">
        <v>3</v>
      </c>
      <c r="E15" s="131">
        <v>11</v>
      </c>
      <c r="F15" s="131">
        <v>7</v>
      </c>
      <c r="G15" s="131">
        <v>7</v>
      </c>
      <c r="H15" s="131">
        <v>16</v>
      </c>
      <c r="I15" s="131">
        <v>18</v>
      </c>
      <c r="J15" s="131">
        <v>17</v>
      </c>
      <c r="K15" s="131">
        <v>10</v>
      </c>
      <c r="L15" s="197">
        <v>34</v>
      </c>
      <c r="M15" s="199" t="s">
        <v>217</v>
      </c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</row>
    <row r="16" spans="1:33" s="102" customFormat="1" ht="24" customHeight="1" x14ac:dyDescent="0.3">
      <c r="A16" s="141">
        <v>7</v>
      </c>
      <c r="B16" s="137" t="s">
        <v>244</v>
      </c>
      <c r="C16" s="137" t="s">
        <v>268</v>
      </c>
      <c r="D16" s="131">
        <v>15</v>
      </c>
      <c r="E16" s="131">
        <v>17</v>
      </c>
      <c r="F16" s="131">
        <v>20</v>
      </c>
      <c r="G16" s="131">
        <v>18</v>
      </c>
      <c r="H16" s="131">
        <v>20</v>
      </c>
      <c r="I16" s="131">
        <v>20</v>
      </c>
      <c r="J16" s="131">
        <v>20</v>
      </c>
      <c r="K16" s="131">
        <v>10</v>
      </c>
      <c r="L16" s="197">
        <v>48</v>
      </c>
      <c r="M16" s="199" t="s">
        <v>217</v>
      </c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</row>
    <row r="17" spans="1:33" s="102" customFormat="1" ht="24" customHeight="1" x14ac:dyDescent="0.3">
      <c r="A17" s="141">
        <v>8</v>
      </c>
      <c r="B17" s="137" t="s">
        <v>246</v>
      </c>
      <c r="C17" s="137" t="s">
        <v>270</v>
      </c>
      <c r="D17" s="131">
        <v>29</v>
      </c>
      <c r="E17" s="131">
        <v>25</v>
      </c>
      <c r="F17" s="131">
        <v>25</v>
      </c>
      <c r="G17" s="131">
        <v>27</v>
      </c>
      <c r="H17" s="131">
        <v>18</v>
      </c>
      <c r="I17" s="131">
        <v>20</v>
      </c>
      <c r="J17" s="131">
        <v>19</v>
      </c>
      <c r="K17" s="131">
        <v>10</v>
      </c>
      <c r="L17" s="197">
        <v>56</v>
      </c>
      <c r="M17" s="199" t="s">
        <v>217</v>
      </c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</row>
    <row r="18" spans="1:33" s="102" customFormat="1" ht="24" customHeight="1" x14ac:dyDescent="0.3">
      <c r="A18" s="141">
        <v>9</v>
      </c>
      <c r="B18" s="137" t="s">
        <v>248</v>
      </c>
      <c r="C18" s="137" t="s">
        <v>272</v>
      </c>
      <c r="D18" s="131">
        <v>18</v>
      </c>
      <c r="E18" s="131">
        <v>13</v>
      </c>
      <c r="F18" s="131">
        <v>21</v>
      </c>
      <c r="G18" s="131">
        <v>18</v>
      </c>
      <c r="H18" s="131">
        <v>18</v>
      </c>
      <c r="I18" s="131">
        <v>20</v>
      </c>
      <c r="J18" s="131">
        <v>19</v>
      </c>
      <c r="K18" s="131">
        <v>10</v>
      </c>
      <c r="L18" s="197">
        <v>47</v>
      </c>
      <c r="M18" s="199" t="s">
        <v>217</v>
      </c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</row>
    <row r="19" spans="1:33" s="102" customFormat="1" ht="24" customHeight="1" x14ac:dyDescent="0.3">
      <c r="A19" s="141">
        <v>10</v>
      </c>
      <c r="B19" s="137" t="s">
        <v>249</v>
      </c>
      <c r="C19" s="137" t="s">
        <v>273</v>
      </c>
      <c r="D19" s="131">
        <v>29</v>
      </c>
      <c r="E19" s="131">
        <v>25</v>
      </c>
      <c r="F19" s="131">
        <v>26</v>
      </c>
      <c r="G19" s="131">
        <v>27</v>
      </c>
      <c r="H19" s="131">
        <v>20</v>
      </c>
      <c r="I19" s="131">
        <v>20</v>
      </c>
      <c r="J19" s="131">
        <v>20</v>
      </c>
      <c r="K19" s="131">
        <v>10</v>
      </c>
      <c r="L19" s="197">
        <v>57</v>
      </c>
      <c r="M19" s="199" t="s">
        <v>217</v>
      </c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</row>
    <row r="20" spans="1:33" s="102" customFormat="1" ht="24" customHeight="1" x14ac:dyDescent="0.3">
      <c r="A20" s="141">
        <v>11</v>
      </c>
      <c r="B20" s="137" t="s">
        <v>250</v>
      </c>
      <c r="C20" s="137" t="s">
        <v>274</v>
      </c>
      <c r="D20" s="131">
        <v>28</v>
      </c>
      <c r="E20" s="131">
        <v>23</v>
      </c>
      <c r="F20" s="131">
        <v>26</v>
      </c>
      <c r="G20" s="131">
        <v>26</v>
      </c>
      <c r="H20" s="131">
        <v>20</v>
      </c>
      <c r="I20" s="131">
        <v>20</v>
      </c>
      <c r="J20" s="131">
        <v>20</v>
      </c>
      <c r="K20" s="131">
        <v>10</v>
      </c>
      <c r="L20" s="197">
        <v>56</v>
      </c>
      <c r="M20" s="199" t="s">
        <v>217</v>
      </c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</row>
    <row r="21" spans="1:33" s="102" customFormat="1" ht="24" customHeight="1" x14ac:dyDescent="0.3">
      <c r="A21" s="141">
        <v>12</v>
      </c>
      <c r="B21" s="137" t="s">
        <v>251</v>
      </c>
      <c r="C21" s="137" t="s">
        <v>275</v>
      </c>
      <c r="D21" s="131">
        <v>2</v>
      </c>
      <c r="E21" s="131">
        <v>15</v>
      </c>
      <c r="F21" s="131">
        <v>2</v>
      </c>
      <c r="G21" s="131">
        <v>7</v>
      </c>
      <c r="H21" s="131">
        <v>12</v>
      </c>
      <c r="I21" s="131">
        <v>16</v>
      </c>
      <c r="J21" s="131">
        <v>14</v>
      </c>
      <c r="K21" s="131">
        <v>8</v>
      </c>
      <c r="L21" s="197">
        <v>29</v>
      </c>
      <c r="M21" s="199" t="s">
        <v>217</v>
      </c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</row>
    <row r="22" spans="1:33" s="102" customFormat="1" ht="24" customHeight="1" x14ac:dyDescent="0.3">
      <c r="A22" s="141">
        <v>13</v>
      </c>
      <c r="B22" s="137" t="s">
        <v>252</v>
      </c>
      <c r="C22" s="137" t="s">
        <v>276</v>
      </c>
      <c r="D22" s="131">
        <v>28</v>
      </c>
      <c r="E22" s="131">
        <v>27</v>
      </c>
      <c r="F22" s="131">
        <v>26</v>
      </c>
      <c r="G22" s="131">
        <v>27</v>
      </c>
      <c r="H22" s="131">
        <v>20</v>
      </c>
      <c r="I22" s="131">
        <v>20</v>
      </c>
      <c r="J22" s="131">
        <v>20</v>
      </c>
      <c r="K22" s="131">
        <v>10</v>
      </c>
      <c r="L22" s="197">
        <v>57</v>
      </c>
      <c r="M22" s="199" t="s">
        <v>217</v>
      </c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</row>
    <row r="23" spans="1:33" s="102" customFormat="1" ht="24" customHeight="1" x14ac:dyDescent="0.3">
      <c r="A23" s="141">
        <v>14</v>
      </c>
      <c r="B23" s="137" t="s">
        <v>254</v>
      </c>
      <c r="C23" s="137" t="s">
        <v>278</v>
      </c>
      <c r="D23" s="131">
        <v>12</v>
      </c>
      <c r="E23" s="131">
        <v>3</v>
      </c>
      <c r="F23" s="131">
        <v>10</v>
      </c>
      <c r="G23" s="131">
        <v>9</v>
      </c>
      <c r="H23" s="131">
        <v>14</v>
      </c>
      <c r="I23" s="131">
        <v>18</v>
      </c>
      <c r="J23" s="131">
        <v>16</v>
      </c>
      <c r="K23" s="131">
        <v>10</v>
      </c>
      <c r="L23" s="197">
        <v>35</v>
      </c>
      <c r="M23" s="199" t="s">
        <v>217</v>
      </c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</row>
    <row r="24" spans="1:33" s="102" customFormat="1" ht="24" customHeight="1" x14ac:dyDescent="0.3">
      <c r="A24" s="141">
        <v>15</v>
      </c>
      <c r="B24" s="137" t="s">
        <v>255</v>
      </c>
      <c r="C24" s="137" t="s">
        <v>279</v>
      </c>
      <c r="D24" s="131">
        <v>0</v>
      </c>
      <c r="E24" s="131">
        <v>10</v>
      </c>
      <c r="F24" s="131">
        <v>11</v>
      </c>
      <c r="G24" s="131">
        <v>7</v>
      </c>
      <c r="H24" s="131">
        <v>12</v>
      </c>
      <c r="I24" s="131">
        <v>16</v>
      </c>
      <c r="J24" s="131">
        <v>14</v>
      </c>
      <c r="K24" s="131">
        <v>10</v>
      </c>
      <c r="L24" s="197">
        <v>31</v>
      </c>
      <c r="M24" s="199" t="s">
        <v>217</v>
      </c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</row>
    <row r="25" spans="1:33" s="102" customFormat="1" ht="47.25" customHeight="1" x14ac:dyDescent="0.3">
      <c r="A25" s="141">
        <v>16</v>
      </c>
      <c r="B25" s="138" t="s">
        <v>256</v>
      </c>
      <c r="C25" s="139" t="s">
        <v>280</v>
      </c>
      <c r="D25" s="131">
        <v>17</v>
      </c>
      <c r="E25" s="131">
        <v>13</v>
      </c>
      <c r="F25" s="131">
        <v>19</v>
      </c>
      <c r="G25" s="131">
        <v>17</v>
      </c>
      <c r="H25" s="131">
        <v>18</v>
      </c>
      <c r="I25" s="131">
        <v>18</v>
      </c>
      <c r="J25" s="131">
        <v>18</v>
      </c>
      <c r="K25" s="131">
        <v>10</v>
      </c>
      <c r="L25" s="197">
        <v>45</v>
      </c>
      <c r="M25" s="199" t="s">
        <v>217</v>
      </c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</row>
    <row r="26" spans="1:33" s="102" customFormat="1" ht="24" customHeight="1" x14ac:dyDescent="0.3">
      <c r="A26" s="142">
        <v>17</v>
      </c>
      <c r="B26" s="137" t="s">
        <v>260</v>
      </c>
      <c r="C26" s="137" t="s">
        <v>284</v>
      </c>
      <c r="D26" s="131">
        <v>3</v>
      </c>
      <c r="E26" s="131">
        <v>8</v>
      </c>
      <c r="F26" s="131">
        <v>6</v>
      </c>
      <c r="G26" s="131">
        <v>6</v>
      </c>
      <c r="H26" s="131">
        <v>12</v>
      </c>
      <c r="I26" s="131">
        <v>14</v>
      </c>
      <c r="J26" s="131">
        <v>13</v>
      </c>
      <c r="K26" s="131">
        <v>8</v>
      </c>
      <c r="L26" s="197">
        <v>27</v>
      </c>
      <c r="M26" s="199" t="s">
        <v>217</v>
      </c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</row>
    <row r="27" spans="1:33" s="102" customFormat="1" ht="24" customHeight="1" x14ac:dyDescent="0.3">
      <c r="A27" s="142">
        <v>18</v>
      </c>
      <c r="B27" s="137" t="s">
        <v>288</v>
      </c>
      <c r="C27" s="137" t="s">
        <v>322</v>
      </c>
      <c r="D27" s="131">
        <v>19</v>
      </c>
      <c r="E27" s="131">
        <v>9</v>
      </c>
      <c r="F27" s="131">
        <v>9</v>
      </c>
      <c r="G27" s="131">
        <v>13</v>
      </c>
      <c r="H27" s="131">
        <v>16</v>
      </c>
      <c r="I27" s="131">
        <v>18</v>
      </c>
      <c r="J27" s="131">
        <v>17</v>
      </c>
      <c r="K27" s="131">
        <v>10</v>
      </c>
      <c r="L27" s="197">
        <v>40</v>
      </c>
      <c r="M27" s="199" t="s">
        <v>217</v>
      </c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</row>
    <row r="28" spans="1:33" s="102" customFormat="1" ht="24" customHeight="1" x14ac:dyDescent="0.3">
      <c r="A28" s="142">
        <v>19</v>
      </c>
      <c r="B28" s="137" t="s">
        <v>289</v>
      </c>
      <c r="C28" s="137" t="s">
        <v>323</v>
      </c>
      <c r="D28" s="131">
        <v>17</v>
      </c>
      <c r="E28" s="131">
        <v>8</v>
      </c>
      <c r="F28" s="131">
        <v>6</v>
      </c>
      <c r="G28" s="131">
        <v>11</v>
      </c>
      <c r="H28" s="131">
        <v>16</v>
      </c>
      <c r="I28" s="131">
        <v>18</v>
      </c>
      <c r="J28" s="131">
        <v>17</v>
      </c>
      <c r="K28" s="131">
        <v>10</v>
      </c>
      <c r="L28" s="197">
        <v>38</v>
      </c>
      <c r="M28" s="199" t="s">
        <v>217</v>
      </c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</row>
    <row r="29" spans="1:33" s="102" customFormat="1" ht="24" customHeight="1" thickBot="1" x14ac:dyDescent="0.35">
      <c r="A29" s="149">
        <v>20</v>
      </c>
      <c r="B29" s="150" t="s">
        <v>290</v>
      </c>
      <c r="C29" s="150" t="s">
        <v>324</v>
      </c>
      <c r="D29" s="136">
        <v>30</v>
      </c>
      <c r="E29" s="136">
        <v>30</v>
      </c>
      <c r="F29" s="136">
        <v>27</v>
      </c>
      <c r="G29" s="136">
        <v>29</v>
      </c>
      <c r="H29" s="136">
        <v>20</v>
      </c>
      <c r="I29" s="136">
        <v>20</v>
      </c>
      <c r="J29" s="136">
        <v>20</v>
      </c>
      <c r="K29" s="136">
        <v>10</v>
      </c>
      <c r="L29" s="198">
        <v>59</v>
      </c>
      <c r="M29" s="199" t="s">
        <v>217</v>
      </c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</row>
    <row r="30" spans="1:33" s="333" customFormat="1" ht="18.75" customHeight="1" x14ac:dyDescent="0.25"/>
    <row r="31" spans="1:33" ht="30" customHeight="1" x14ac:dyDescent="0.25">
      <c r="A31" s="318" t="s">
        <v>179</v>
      </c>
      <c r="B31" s="318"/>
      <c r="C31" s="318"/>
      <c r="D31" s="318"/>
      <c r="E31" s="318"/>
      <c r="F31" s="318" t="s">
        <v>178</v>
      </c>
      <c r="G31" s="318"/>
      <c r="H31" s="318"/>
      <c r="I31" s="318"/>
      <c r="J31" s="318" t="s">
        <v>138</v>
      </c>
      <c r="K31" s="318"/>
      <c r="L31" s="318"/>
      <c r="M31" s="318"/>
      <c r="O31" s="14"/>
      <c r="P31" s="14"/>
    </row>
    <row r="32" spans="1:33" s="318" customFormat="1" ht="15.75" x14ac:dyDescent="0.25"/>
    <row r="33" spans="1:144" ht="15.75" thickBot="1" x14ac:dyDescent="0.3">
      <c r="A33" s="134"/>
      <c r="B33" s="134"/>
      <c r="C33" s="134"/>
      <c r="D33" s="134"/>
      <c r="E33" s="14"/>
      <c r="F33" s="135"/>
      <c r="G33" s="135"/>
      <c r="H33" s="117"/>
      <c r="I33" s="14"/>
      <c r="J33" s="117"/>
      <c r="K33" s="117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  <c r="AL33" s="14"/>
      <c r="AM33" s="14"/>
      <c r="AN33" s="14"/>
      <c r="AO33" s="14"/>
      <c r="AP33" s="14"/>
      <c r="AQ33" s="14"/>
      <c r="AR33" s="14"/>
      <c r="AS33" s="14"/>
      <c r="AT33" s="14"/>
      <c r="AU33" s="14"/>
      <c r="AV33" s="14"/>
      <c r="AW33" s="14"/>
      <c r="AX33" s="14"/>
      <c r="AY33" s="14"/>
      <c r="AZ33" s="14"/>
      <c r="BA33" s="14"/>
      <c r="BB33" s="14"/>
      <c r="BC33" s="14"/>
      <c r="BD33" s="14"/>
      <c r="BE33" s="14"/>
      <c r="BF33" s="14"/>
      <c r="BG33" s="14"/>
      <c r="BH33" s="14"/>
      <c r="BI33" s="14"/>
      <c r="BJ33" s="14"/>
      <c r="BK33" s="14"/>
      <c r="BL33" s="14"/>
      <c r="BM33" s="14"/>
      <c r="BN33" s="14"/>
      <c r="BO33" s="14"/>
      <c r="BP33" s="14"/>
      <c r="BQ33" s="14"/>
      <c r="BR33" s="14"/>
      <c r="BS33" s="14"/>
      <c r="BT33" s="14"/>
      <c r="BU33" s="14"/>
      <c r="BV33" s="14"/>
      <c r="BW33" s="14"/>
      <c r="BX33" s="14"/>
      <c r="BY33" s="14"/>
      <c r="BZ33" s="14"/>
      <c r="CA33" s="14"/>
      <c r="CB33" s="14"/>
      <c r="CC33" s="14"/>
      <c r="CD33" s="14"/>
      <c r="CE33" s="14"/>
      <c r="CF33" s="14"/>
      <c r="CG33" s="14"/>
      <c r="CH33" s="14"/>
      <c r="CI33" s="14"/>
      <c r="CJ33" s="14"/>
      <c r="CK33" s="14"/>
      <c r="CL33" s="14"/>
      <c r="CM33" s="14"/>
      <c r="CN33" s="14"/>
      <c r="CO33" s="14"/>
      <c r="CP33" s="14"/>
      <c r="CQ33" s="14"/>
      <c r="CR33" s="14"/>
      <c r="CS33" s="14"/>
      <c r="CT33" s="14"/>
      <c r="CU33" s="14"/>
      <c r="CV33" s="14"/>
      <c r="CW33" s="14"/>
      <c r="CX33" s="14"/>
      <c r="CY33" s="14"/>
      <c r="CZ33" s="14"/>
      <c r="DA33" s="14"/>
      <c r="DB33" s="14"/>
      <c r="DC33" s="14"/>
      <c r="DD33" s="14"/>
      <c r="DE33" s="14"/>
      <c r="DF33" s="14"/>
      <c r="DG33" s="14"/>
      <c r="DH33" s="14"/>
      <c r="DI33" s="14"/>
      <c r="DJ33" s="14"/>
      <c r="DK33" s="14"/>
      <c r="DL33" s="14"/>
      <c r="DM33" s="14"/>
      <c r="DN33" s="14"/>
      <c r="DO33" s="14"/>
      <c r="DP33" s="14"/>
      <c r="DQ33" s="14"/>
      <c r="DR33" s="14"/>
      <c r="DS33" s="14"/>
      <c r="DT33" s="14"/>
      <c r="DU33" s="14"/>
      <c r="DV33" s="14"/>
      <c r="DW33" s="14"/>
      <c r="DX33" s="14"/>
      <c r="DY33" s="14"/>
      <c r="DZ33" s="14"/>
      <c r="EA33" s="14"/>
      <c r="EB33" s="14"/>
      <c r="EC33" s="14"/>
      <c r="ED33" s="14"/>
      <c r="EE33" s="14"/>
      <c r="EF33" s="14"/>
      <c r="EG33" s="14"/>
      <c r="EH33" s="14"/>
      <c r="EI33" s="14"/>
      <c r="EJ33" s="14"/>
      <c r="EK33" s="14"/>
      <c r="EL33" s="14"/>
      <c r="EM33" s="14"/>
      <c r="EN33" s="14"/>
    </row>
    <row r="34" spans="1:144" s="25" customFormat="1" ht="27.75" customHeight="1" x14ac:dyDescent="0.25">
      <c r="A34" s="323" t="s">
        <v>2</v>
      </c>
      <c r="B34" s="326" t="s">
        <v>1</v>
      </c>
      <c r="C34" s="329" t="s">
        <v>3</v>
      </c>
      <c r="D34" s="153" t="s">
        <v>150</v>
      </c>
      <c r="E34" s="153" t="s">
        <v>151</v>
      </c>
      <c r="F34" s="153" t="s">
        <v>152</v>
      </c>
      <c r="G34" s="331" t="s">
        <v>153</v>
      </c>
      <c r="H34" s="153" t="s">
        <v>368</v>
      </c>
      <c r="I34" s="153" t="s">
        <v>369</v>
      </c>
      <c r="J34" s="171" t="s">
        <v>370</v>
      </c>
      <c r="K34" s="331" t="s">
        <v>371</v>
      </c>
      <c r="L34" s="319" t="s">
        <v>154</v>
      </c>
      <c r="M34" s="321" t="s">
        <v>234</v>
      </c>
      <c r="N34" s="127"/>
      <c r="O34" s="127"/>
      <c r="P34" s="127"/>
      <c r="Q34" s="127"/>
      <c r="R34" s="127"/>
      <c r="S34" s="127"/>
      <c r="T34" s="127"/>
      <c r="U34" s="127"/>
      <c r="V34" s="127"/>
      <c r="W34" s="127"/>
      <c r="X34" s="127"/>
      <c r="Y34" s="127"/>
      <c r="Z34" s="127"/>
      <c r="AA34" s="127"/>
      <c r="AB34" s="127"/>
      <c r="AC34" s="127"/>
      <c r="AD34" s="127"/>
      <c r="AE34" s="127"/>
      <c r="AF34" s="127"/>
      <c r="AG34" s="127"/>
      <c r="AH34" s="127"/>
      <c r="AI34" s="127"/>
      <c r="AJ34" s="127"/>
      <c r="AK34" s="127"/>
      <c r="AL34" s="127"/>
      <c r="AM34" s="127"/>
      <c r="AN34" s="127"/>
      <c r="AO34" s="127"/>
      <c r="AP34" s="127"/>
      <c r="AQ34" s="127"/>
      <c r="AR34" s="127"/>
      <c r="AS34" s="127"/>
      <c r="AT34" s="127"/>
      <c r="AU34" s="127"/>
      <c r="AV34" s="127"/>
      <c r="AW34" s="127"/>
      <c r="AX34" s="127"/>
      <c r="AY34" s="127"/>
      <c r="AZ34" s="127"/>
      <c r="BA34" s="127"/>
      <c r="BB34" s="127"/>
      <c r="BC34" s="127"/>
      <c r="BD34" s="127"/>
      <c r="BE34" s="127"/>
      <c r="BF34" s="127"/>
      <c r="BG34" s="127"/>
      <c r="BH34" s="127"/>
      <c r="BI34" s="127"/>
      <c r="BJ34" s="127"/>
      <c r="BK34" s="127"/>
      <c r="BL34" s="127"/>
      <c r="BM34" s="127"/>
      <c r="BN34" s="127"/>
      <c r="BO34" s="127"/>
      <c r="BP34" s="127"/>
      <c r="BQ34" s="127"/>
      <c r="BR34" s="127"/>
      <c r="BS34" s="127"/>
      <c r="BT34" s="127"/>
      <c r="BU34" s="127"/>
      <c r="BV34" s="127"/>
      <c r="BW34" s="127"/>
      <c r="BX34" s="127"/>
      <c r="BY34" s="127"/>
      <c r="BZ34" s="127"/>
      <c r="CA34" s="127"/>
      <c r="CB34" s="127"/>
      <c r="CC34" s="127"/>
      <c r="CD34" s="127"/>
      <c r="CE34" s="127"/>
      <c r="CF34" s="127"/>
      <c r="CG34" s="127"/>
      <c r="CH34" s="127"/>
      <c r="CI34" s="127"/>
      <c r="CJ34" s="127"/>
      <c r="CK34" s="127"/>
      <c r="CL34" s="127"/>
      <c r="CM34" s="127"/>
      <c r="CN34" s="127"/>
      <c r="CO34" s="127"/>
      <c r="CP34" s="127"/>
      <c r="CQ34" s="127"/>
      <c r="CR34" s="127"/>
      <c r="CS34" s="127"/>
      <c r="CT34" s="127"/>
      <c r="CU34" s="127"/>
      <c r="CV34" s="127"/>
      <c r="CW34" s="127"/>
      <c r="CX34" s="127"/>
      <c r="CY34" s="127"/>
      <c r="CZ34" s="127"/>
      <c r="DA34" s="127"/>
      <c r="DB34" s="127"/>
      <c r="DC34" s="127"/>
      <c r="DD34" s="127"/>
      <c r="DE34" s="127"/>
      <c r="DF34" s="127"/>
      <c r="DG34" s="127"/>
      <c r="DH34" s="127"/>
      <c r="DI34" s="127"/>
      <c r="DJ34" s="127"/>
      <c r="DK34" s="127"/>
      <c r="DL34" s="127"/>
      <c r="DM34" s="127"/>
      <c r="DN34" s="127"/>
      <c r="DO34" s="127"/>
      <c r="DP34" s="127"/>
      <c r="DQ34" s="127"/>
      <c r="DR34" s="127"/>
      <c r="DS34" s="127"/>
      <c r="DT34" s="127"/>
      <c r="DU34" s="127"/>
      <c r="DV34" s="127"/>
      <c r="DW34" s="127"/>
      <c r="DX34" s="127"/>
      <c r="DY34" s="127"/>
      <c r="DZ34" s="127"/>
      <c r="EA34" s="127"/>
      <c r="EB34" s="127"/>
      <c r="EC34" s="127"/>
      <c r="ED34" s="127"/>
      <c r="EE34" s="127"/>
      <c r="EF34" s="127"/>
      <c r="EG34" s="127"/>
      <c r="EH34" s="127"/>
      <c r="EI34" s="127"/>
      <c r="EJ34" s="127"/>
      <c r="EK34" s="127"/>
      <c r="EL34" s="127"/>
      <c r="EM34" s="127"/>
      <c r="EN34" s="127"/>
    </row>
    <row r="35" spans="1:144" s="25" customFormat="1" ht="27.75" customHeight="1" x14ac:dyDescent="0.25">
      <c r="A35" s="324"/>
      <c r="B35" s="327"/>
      <c r="C35" s="218"/>
      <c r="D35" s="57" t="s">
        <v>155</v>
      </c>
      <c r="E35" s="57" t="s">
        <v>227</v>
      </c>
      <c r="F35" s="57" t="s">
        <v>228</v>
      </c>
      <c r="G35" s="332"/>
      <c r="H35" s="57" t="s">
        <v>359</v>
      </c>
      <c r="I35" s="81" t="s">
        <v>358</v>
      </c>
      <c r="J35" s="172" t="s">
        <v>360</v>
      </c>
      <c r="K35" s="332"/>
      <c r="L35" s="320"/>
      <c r="M35" s="309"/>
      <c r="N35" s="127"/>
      <c r="O35" s="127"/>
      <c r="P35" s="127"/>
      <c r="Q35" s="127"/>
      <c r="R35" s="127"/>
      <c r="S35" s="127"/>
      <c r="T35" s="127"/>
      <c r="U35" s="127"/>
      <c r="V35" s="127"/>
      <c r="W35" s="127"/>
      <c r="X35" s="127"/>
      <c r="Y35" s="127"/>
      <c r="Z35" s="127"/>
      <c r="AA35" s="127"/>
      <c r="AB35" s="127"/>
      <c r="AC35" s="127"/>
      <c r="AD35" s="127"/>
      <c r="AE35" s="127"/>
      <c r="AF35" s="127"/>
      <c r="AG35" s="127"/>
      <c r="AH35" s="127"/>
      <c r="AI35" s="127"/>
      <c r="AJ35" s="127"/>
      <c r="AK35" s="127"/>
      <c r="AL35" s="127"/>
      <c r="AM35" s="127"/>
      <c r="AN35" s="127"/>
      <c r="AO35" s="127"/>
      <c r="AP35" s="127"/>
      <c r="AQ35" s="127"/>
      <c r="AR35" s="127"/>
      <c r="AS35" s="127"/>
      <c r="AT35" s="127"/>
      <c r="AU35" s="127"/>
      <c r="AV35" s="127"/>
      <c r="AW35" s="127"/>
      <c r="AX35" s="127"/>
      <c r="AY35" s="127"/>
      <c r="AZ35" s="127"/>
      <c r="BA35" s="127"/>
      <c r="BB35" s="127"/>
      <c r="BC35" s="127"/>
      <c r="BD35" s="127"/>
      <c r="BE35" s="127"/>
      <c r="BF35" s="127"/>
      <c r="BG35" s="127"/>
      <c r="BH35" s="127"/>
      <c r="BI35" s="127"/>
      <c r="BJ35" s="127"/>
      <c r="BK35" s="127"/>
      <c r="BL35" s="127"/>
      <c r="BM35" s="127"/>
      <c r="BN35" s="127"/>
      <c r="BO35" s="127"/>
      <c r="BP35" s="127"/>
      <c r="BQ35" s="127"/>
      <c r="BR35" s="127"/>
      <c r="BS35" s="127"/>
      <c r="BT35" s="127"/>
      <c r="BU35" s="127"/>
      <c r="BV35" s="127"/>
      <c r="BW35" s="127"/>
      <c r="BX35" s="127"/>
      <c r="BY35" s="127"/>
      <c r="BZ35" s="127"/>
      <c r="CA35" s="127"/>
      <c r="CB35" s="127"/>
      <c r="CC35" s="127"/>
      <c r="CD35" s="127"/>
      <c r="CE35" s="127"/>
      <c r="CF35" s="127"/>
      <c r="CG35" s="127"/>
      <c r="CH35" s="127"/>
      <c r="CI35" s="127"/>
      <c r="CJ35" s="127"/>
      <c r="CK35" s="127"/>
      <c r="CL35" s="127"/>
      <c r="CM35" s="127"/>
      <c r="CN35" s="127"/>
      <c r="CO35" s="127"/>
      <c r="CP35" s="127"/>
      <c r="CQ35" s="127"/>
      <c r="CR35" s="127"/>
      <c r="CS35" s="127"/>
      <c r="CT35" s="127"/>
      <c r="CU35" s="127"/>
      <c r="CV35" s="127"/>
      <c r="CW35" s="127"/>
      <c r="CX35" s="127"/>
      <c r="CY35" s="127"/>
      <c r="CZ35" s="127"/>
      <c r="DA35" s="127"/>
      <c r="DB35" s="127"/>
      <c r="DC35" s="127"/>
      <c r="DD35" s="127"/>
      <c r="DE35" s="127"/>
      <c r="DF35" s="127"/>
      <c r="DG35" s="127"/>
      <c r="DH35" s="127"/>
      <c r="DI35" s="127"/>
      <c r="DJ35" s="127"/>
      <c r="DK35" s="127"/>
      <c r="DL35" s="127"/>
      <c r="DM35" s="127"/>
      <c r="DN35" s="127"/>
      <c r="DO35" s="127"/>
      <c r="DP35" s="127"/>
      <c r="DQ35" s="127"/>
      <c r="DR35" s="127"/>
      <c r="DS35" s="127"/>
      <c r="DT35" s="127"/>
      <c r="DU35" s="127"/>
      <c r="DV35" s="127"/>
      <c r="DW35" s="127"/>
      <c r="DX35" s="127"/>
      <c r="DY35" s="127"/>
      <c r="DZ35" s="127"/>
      <c r="EA35" s="127"/>
      <c r="EB35" s="127"/>
      <c r="EC35" s="127"/>
      <c r="ED35" s="127"/>
      <c r="EE35" s="127"/>
      <c r="EF35" s="127"/>
      <c r="EG35" s="127"/>
      <c r="EH35" s="127"/>
      <c r="EI35" s="127"/>
      <c r="EJ35" s="127"/>
      <c r="EK35" s="127"/>
      <c r="EL35" s="127"/>
      <c r="EM35" s="127"/>
      <c r="EN35" s="127"/>
    </row>
    <row r="36" spans="1:144" s="54" customFormat="1" ht="19.5" customHeight="1" thickBot="1" x14ac:dyDescent="0.3">
      <c r="A36" s="325"/>
      <c r="B36" s="328"/>
      <c r="C36" s="330"/>
      <c r="D36" s="173">
        <v>30</v>
      </c>
      <c r="E36" s="173">
        <v>30</v>
      </c>
      <c r="F36" s="173">
        <v>30</v>
      </c>
      <c r="G36" s="156">
        <v>30</v>
      </c>
      <c r="H36" s="173">
        <v>20</v>
      </c>
      <c r="I36" s="173">
        <v>20</v>
      </c>
      <c r="J36" s="157">
        <v>20</v>
      </c>
      <c r="K36" s="157">
        <v>10</v>
      </c>
      <c r="L36" s="158">
        <v>60</v>
      </c>
      <c r="M36" s="322"/>
      <c r="N36" s="128"/>
      <c r="O36" s="128"/>
      <c r="P36" s="128"/>
      <c r="Q36" s="128"/>
      <c r="R36" s="128"/>
      <c r="S36" s="128"/>
      <c r="T36" s="128"/>
      <c r="U36" s="128"/>
      <c r="V36" s="128"/>
      <c r="W36" s="128"/>
      <c r="X36" s="128"/>
      <c r="Y36" s="128"/>
      <c r="Z36" s="128"/>
      <c r="AA36" s="128"/>
      <c r="AB36" s="128"/>
      <c r="AC36" s="128"/>
      <c r="AD36" s="128"/>
      <c r="AE36" s="128"/>
      <c r="AF36" s="128"/>
      <c r="AG36" s="128"/>
      <c r="AH36" s="128"/>
      <c r="AI36" s="128"/>
      <c r="AJ36" s="128"/>
      <c r="AK36" s="128"/>
      <c r="AL36" s="128"/>
      <c r="AM36" s="128"/>
      <c r="AN36" s="128"/>
      <c r="AO36" s="128"/>
      <c r="AP36" s="128"/>
      <c r="AQ36" s="128"/>
      <c r="AR36" s="128"/>
      <c r="AS36" s="128"/>
      <c r="AT36" s="128"/>
      <c r="AU36" s="128"/>
      <c r="AV36" s="128"/>
      <c r="AW36" s="128"/>
      <c r="AX36" s="128"/>
      <c r="AY36" s="128"/>
      <c r="AZ36" s="128"/>
      <c r="BA36" s="128"/>
      <c r="BB36" s="128"/>
      <c r="BC36" s="128"/>
      <c r="BD36" s="128"/>
      <c r="BE36" s="128"/>
      <c r="BF36" s="128"/>
      <c r="BG36" s="128"/>
      <c r="BH36" s="128"/>
      <c r="BI36" s="128"/>
      <c r="BJ36" s="128"/>
      <c r="BK36" s="128"/>
      <c r="BL36" s="128"/>
      <c r="BM36" s="128"/>
      <c r="BN36" s="128"/>
      <c r="BO36" s="128"/>
      <c r="BP36" s="128"/>
      <c r="BQ36" s="128"/>
      <c r="BR36" s="128"/>
      <c r="BS36" s="128"/>
      <c r="BT36" s="128"/>
      <c r="BU36" s="128"/>
      <c r="BV36" s="128"/>
      <c r="BW36" s="128"/>
      <c r="BX36" s="128"/>
      <c r="BY36" s="128"/>
      <c r="BZ36" s="128"/>
      <c r="CA36" s="128"/>
      <c r="CB36" s="128"/>
      <c r="CC36" s="128"/>
      <c r="CD36" s="128"/>
      <c r="CE36" s="128"/>
      <c r="CF36" s="128"/>
      <c r="CG36" s="128"/>
      <c r="CH36" s="128"/>
      <c r="CI36" s="128"/>
      <c r="CJ36" s="128"/>
      <c r="CK36" s="128"/>
      <c r="CL36" s="128"/>
      <c r="CM36" s="128"/>
      <c r="CN36" s="128"/>
      <c r="CO36" s="128"/>
      <c r="CP36" s="128"/>
      <c r="CQ36" s="128"/>
      <c r="CR36" s="128"/>
      <c r="CS36" s="128"/>
      <c r="CT36" s="128"/>
      <c r="CU36" s="128"/>
      <c r="CV36" s="128"/>
      <c r="CW36" s="128"/>
      <c r="CX36" s="128"/>
      <c r="CY36" s="128"/>
      <c r="CZ36" s="128"/>
      <c r="DA36" s="128"/>
      <c r="DB36" s="128"/>
      <c r="DC36" s="128"/>
      <c r="DD36" s="128"/>
      <c r="DE36" s="128"/>
      <c r="DF36" s="128"/>
      <c r="DG36" s="128"/>
      <c r="DH36" s="128"/>
      <c r="DI36" s="128"/>
      <c r="DJ36" s="128"/>
      <c r="DK36" s="128"/>
      <c r="DL36" s="128"/>
      <c r="DM36" s="128"/>
      <c r="DN36" s="128"/>
      <c r="DO36" s="128"/>
      <c r="DP36" s="128"/>
      <c r="DQ36" s="128"/>
      <c r="DR36" s="128"/>
      <c r="DS36" s="128"/>
      <c r="DT36" s="128"/>
      <c r="DU36" s="128"/>
      <c r="DV36" s="128"/>
      <c r="DW36" s="128"/>
      <c r="DX36" s="128"/>
      <c r="DY36" s="128"/>
      <c r="DZ36" s="128"/>
      <c r="EA36" s="128"/>
      <c r="EB36" s="128"/>
      <c r="EC36" s="128"/>
      <c r="ED36" s="128"/>
      <c r="EE36" s="128"/>
      <c r="EF36" s="128"/>
      <c r="EG36" s="128"/>
      <c r="EH36" s="128"/>
      <c r="EI36" s="128"/>
      <c r="EJ36" s="128"/>
      <c r="EK36" s="128"/>
      <c r="EL36" s="128"/>
      <c r="EM36" s="128"/>
      <c r="EN36" s="128"/>
    </row>
    <row r="37" spans="1:144" s="3" customFormat="1" ht="24" customHeight="1" x14ac:dyDescent="0.3">
      <c r="A37" s="159">
        <v>21</v>
      </c>
      <c r="B37" s="170" t="s">
        <v>291</v>
      </c>
      <c r="C37" s="165" t="s">
        <v>325</v>
      </c>
      <c r="D37" s="195">
        <v>26</v>
      </c>
      <c r="E37" s="195">
        <v>15</v>
      </c>
      <c r="F37" s="195">
        <v>20</v>
      </c>
      <c r="G37" s="195">
        <v>21</v>
      </c>
      <c r="H37" s="195">
        <v>18</v>
      </c>
      <c r="I37" s="195">
        <v>20</v>
      </c>
      <c r="J37" s="195">
        <v>19</v>
      </c>
      <c r="K37" s="195">
        <v>10</v>
      </c>
      <c r="L37" s="196">
        <v>50</v>
      </c>
      <c r="M37" s="199" t="s">
        <v>217</v>
      </c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  <c r="AI37" s="14"/>
      <c r="AJ37" s="14"/>
      <c r="AK37" s="14"/>
      <c r="AL37" s="14"/>
      <c r="AM37" s="14"/>
      <c r="AN37" s="14"/>
      <c r="AO37" s="14"/>
      <c r="AP37" s="14"/>
      <c r="AQ37" s="14"/>
      <c r="AR37" s="14"/>
      <c r="AS37" s="14"/>
      <c r="AT37" s="14"/>
      <c r="AU37" s="14"/>
      <c r="AV37" s="14"/>
      <c r="AW37" s="14"/>
      <c r="AX37" s="14"/>
      <c r="AY37" s="14"/>
      <c r="AZ37" s="14"/>
      <c r="BA37" s="14"/>
      <c r="BB37" s="14"/>
      <c r="BC37" s="14"/>
      <c r="BD37" s="14"/>
      <c r="BE37" s="14"/>
      <c r="BF37" s="14"/>
      <c r="BG37" s="14"/>
      <c r="BH37" s="14"/>
      <c r="BI37" s="14"/>
      <c r="BJ37" s="14"/>
      <c r="BK37" s="14"/>
      <c r="BL37" s="14"/>
      <c r="BM37" s="14"/>
      <c r="BN37" s="14"/>
      <c r="BO37" s="14"/>
      <c r="BP37" s="14"/>
      <c r="BQ37" s="14"/>
      <c r="BR37" s="14"/>
      <c r="BS37" s="14"/>
      <c r="BT37" s="14"/>
      <c r="BU37" s="14"/>
      <c r="BV37" s="14"/>
      <c r="BW37" s="14"/>
      <c r="BX37" s="14"/>
      <c r="BY37" s="14"/>
      <c r="BZ37" s="14"/>
      <c r="CA37" s="14"/>
      <c r="CB37" s="14"/>
      <c r="CC37" s="14"/>
      <c r="CD37" s="14"/>
      <c r="CE37" s="14"/>
      <c r="CF37" s="14"/>
      <c r="CG37" s="14"/>
      <c r="CH37" s="14"/>
      <c r="CI37" s="14"/>
      <c r="CJ37" s="14"/>
      <c r="CK37" s="14"/>
      <c r="CL37" s="14"/>
      <c r="CM37" s="14"/>
      <c r="CN37" s="14"/>
      <c r="CO37" s="14"/>
      <c r="CP37" s="14"/>
      <c r="CQ37" s="14"/>
      <c r="CR37" s="14"/>
      <c r="CS37" s="14"/>
      <c r="CT37" s="14"/>
      <c r="CU37" s="14"/>
      <c r="CV37" s="14"/>
      <c r="CW37" s="14"/>
      <c r="CX37" s="14"/>
      <c r="CY37" s="14"/>
      <c r="CZ37" s="14"/>
      <c r="DA37" s="14"/>
      <c r="DB37" s="14"/>
      <c r="DC37" s="14"/>
      <c r="DD37" s="14"/>
      <c r="DE37" s="14"/>
      <c r="DF37" s="14"/>
      <c r="DG37" s="14"/>
      <c r="DH37" s="14"/>
      <c r="DI37" s="14"/>
      <c r="DJ37" s="14"/>
      <c r="DK37" s="14"/>
      <c r="DL37" s="14"/>
      <c r="DM37" s="14"/>
      <c r="DN37" s="14"/>
      <c r="DO37" s="14"/>
      <c r="DP37" s="14"/>
      <c r="DQ37" s="14"/>
      <c r="DR37" s="14"/>
      <c r="DS37" s="14"/>
      <c r="DT37" s="14"/>
      <c r="DU37" s="14"/>
      <c r="DV37" s="14"/>
      <c r="DW37" s="14"/>
      <c r="DX37" s="14"/>
      <c r="DY37" s="14"/>
      <c r="DZ37" s="14"/>
      <c r="EA37" s="14"/>
      <c r="EB37" s="14"/>
      <c r="EC37" s="14"/>
      <c r="ED37" s="14"/>
      <c r="EE37" s="14"/>
      <c r="EF37" s="14"/>
      <c r="EG37" s="14"/>
      <c r="EH37" s="14"/>
      <c r="EI37" s="14"/>
      <c r="EJ37" s="14"/>
      <c r="EK37" s="14"/>
      <c r="EL37" s="14"/>
      <c r="EM37" s="14"/>
      <c r="EN37" s="14"/>
    </row>
    <row r="38" spans="1:144" s="3" customFormat="1" ht="24" customHeight="1" x14ac:dyDescent="0.3">
      <c r="A38" s="140">
        <v>22</v>
      </c>
      <c r="B38" s="137" t="s">
        <v>293</v>
      </c>
      <c r="C38" s="166" t="s">
        <v>327</v>
      </c>
      <c r="D38" s="131">
        <v>21</v>
      </c>
      <c r="E38" s="131">
        <v>20</v>
      </c>
      <c r="F38" s="131">
        <v>17</v>
      </c>
      <c r="G38" s="131">
        <v>20</v>
      </c>
      <c r="H38" s="131">
        <v>20</v>
      </c>
      <c r="I38" s="131">
        <v>20</v>
      </c>
      <c r="J38" s="131">
        <v>20</v>
      </c>
      <c r="K38" s="131">
        <v>10</v>
      </c>
      <c r="L38" s="197">
        <v>50</v>
      </c>
      <c r="M38" s="199" t="s">
        <v>217</v>
      </c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  <c r="AL38" s="14"/>
      <c r="AM38" s="14"/>
      <c r="AN38" s="14"/>
      <c r="AO38" s="14"/>
      <c r="AP38" s="14"/>
      <c r="AQ38" s="14"/>
      <c r="AR38" s="14"/>
      <c r="AS38" s="14"/>
      <c r="AT38" s="14"/>
      <c r="AU38" s="14"/>
      <c r="AV38" s="14"/>
      <c r="AW38" s="14"/>
      <c r="AX38" s="14"/>
      <c r="AY38" s="14"/>
      <c r="AZ38" s="14"/>
      <c r="BA38" s="14"/>
      <c r="BB38" s="14"/>
      <c r="BC38" s="14"/>
      <c r="BD38" s="14"/>
      <c r="BE38" s="14"/>
      <c r="BF38" s="14"/>
      <c r="BG38" s="14"/>
      <c r="BH38" s="14"/>
      <c r="BI38" s="14"/>
      <c r="BJ38" s="14"/>
      <c r="BK38" s="14"/>
      <c r="BL38" s="14"/>
      <c r="BM38" s="14"/>
      <c r="BN38" s="14"/>
      <c r="BO38" s="14"/>
      <c r="BP38" s="14"/>
      <c r="BQ38" s="14"/>
      <c r="BR38" s="14"/>
      <c r="BS38" s="14"/>
      <c r="BT38" s="14"/>
      <c r="BU38" s="14"/>
      <c r="BV38" s="14"/>
      <c r="BW38" s="14"/>
      <c r="BX38" s="14"/>
      <c r="BY38" s="14"/>
      <c r="BZ38" s="14"/>
      <c r="CA38" s="14"/>
      <c r="CB38" s="14"/>
      <c r="CC38" s="14"/>
      <c r="CD38" s="14"/>
      <c r="CE38" s="14"/>
      <c r="CF38" s="14"/>
      <c r="CG38" s="14"/>
      <c r="CH38" s="14"/>
      <c r="CI38" s="14"/>
      <c r="CJ38" s="14"/>
      <c r="CK38" s="14"/>
      <c r="CL38" s="14"/>
      <c r="CM38" s="14"/>
      <c r="CN38" s="14"/>
      <c r="CO38" s="14"/>
      <c r="CP38" s="14"/>
      <c r="CQ38" s="14"/>
      <c r="CR38" s="14"/>
      <c r="CS38" s="14"/>
      <c r="CT38" s="14"/>
      <c r="CU38" s="14"/>
      <c r="CV38" s="14"/>
      <c r="CW38" s="14"/>
      <c r="CX38" s="14"/>
      <c r="CY38" s="14"/>
      <c r="CZ38" s="14"/>
      <c r="DA38" s="14"/>
      <c r="DB38" s="14"/>
      <c r="DC38" s="14"/>
      <c r="DD38" s="14"/>
      <c r="DE38" s="14"/>
      <c r="DF38" s="14"/>
      <c r="DG38" s="14"/>
      <c r="DH38" s="14"/>
      <c r="DI38" s="14"/>
      <c r="DJ38" s="14"/>
      <c r="DK38" s="14"/>
      <c r="DL38" s="14"/>
      <c r="DM38" s="14"/>
      <c r="DN38" s="14"/>
      <c r="DO38" s="14"/>
      <c r="DP38" s="14"/>
      <c r="DQ38" s="14"/>
      <c r="DR38" s="14"/>
      <c r="DS38" s="14"/>
      <c r="DT38" s="14"/>
      <c r="DU38" s="14"/>
      <c r="DV38" s="14"/>
      <c r="DW38" s="14"/>
      <c r="DX38" s="14"/>
      <c r="DY38" s="14"/>
      <c r="DZ38" s="14"/>
      <c r="EA38" s="14"/>
      <c r="EB38" s="14"/>
      <c r="EC38" s="14"/>
      <c r="ED38" s="14"/>
      <c r="EE38" s="14"/>
      <c r="EF38" s="14"/>
      <c r="EG38" s="14"/>
      <c r="EH38" s="14"/>
      <c r="EI38" s="14"/>
      <c r="EJ38" s="14"/>
      <c r="EK38" s="14"/>
      <c r="EL38" s="14"/>
      <c r="EM38" s="14"/>
      <c r="EN38" s="14"/>
    </row>
    <row r="39" spans="1:144" s="3" customFormat="1" ht="24" customHeight="1" x14ac:dyDescent="0.3">
      <c r="A39" s="143">
        <v>23</v>
      </c>
      <c r="B39" s="137" t="s">
        <v>294</v>
      </c>
      <c r="C39" s="166" t="s">
        <v>328</v>
      </c>
      <c r="D39" s="131">
        <v>28</v>
      </c>
      <c r="E39" s="131">
        <v>17</v>
      </c>
      <c r="F39" s="131">
        <v>17</v>
      </c>
      <c r="G39" s="131">
        <v>21</v>
      </c>
      <c r="H39" s="131">
        <v>18</v>
      </c>
      <c r="I39" s="131">
        <v>20</v>
      </c>
      <c r="J39" s="131">
        <v>19</v>
      </c>
      <c r="K39" s="131">
        <v>10</v>
      </c>
      <c r="L39" s="197">
        <v>50</v>
      </c>
      <c r="M39" s="199" t="s">
        <v>217</v>
      </c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4"/>
      <c r="AI39" s="14"/>
      <c r="AJ39" s="14"/>
      <c r="AK39" s="14"/>
      <c r="AL39" s="14"/>
      <c r="AM39" s="14"/>
      <c r="AN39" s="14"/>
      <c r="AO39" s="14"/>
      <c r="AP39" s="14"/>
      <c r="AQ39" s="14"/>
      <c r="AR39" s="14"/>
      <c r="AS39" s="14"/>
      <c r="AT39" s="14"/>
      <c r="AU39" s="14"/>
      <c r="AV39" s="14"/>
      <c r="AW39" s="14"/>
      <c r="AX39" s="14"/>
      <c r="AY39" s="14"/>
      <c r="AZ39" s="14"/>
      <c r="BA39" s="14"/>
      <c r="BB39" s="14"/>
      <c r="BC39" s="14"/>
      <c r="BD39" s="14"/>
      <c r="BE39" s="14"/>
      <c r="BF39" s="14"/>
      <c r="BG39" s="14"/>
      <c r="BH39" s="14"/>
      <c r="BI39" s="14"/>
      <c r="BJ39" s="14"/>
      <c r="BK39" s="14"/>
      <c r="BL39" s="14"/>
      <c r="BM39" s="14"/>
      <c r="BN39" s="14"/>
      <c r="BO39" s="14"/>
      <c r="BP39" s="14"/>
      <c r="BQ39" s="14"/>
      <c r="BR39" s="14"/>
      <c r="BS39" s="14"/>
      <c r="BT39" s="14"/>
      <c r="BU39" s="14"/>
      <c r="BV39" s="14"/>
      <c r="BW39" s="14"/>
      <c r="BX39" s="14"/>
      <c r="BY39" s="14"/>
      <c r="BZ39" s="14"/>
      <c r="CA39" s="14"/>
      <c r="CB39" s="14"/>
      <c r="CC39" s="14"/>
      <c r="CD39" s="14"/>
      <c r="CE39" s="14"/>
      <c r="CF39" s="14"/>
      <c r="CG39" s="14"/>
      <c r="CH39" s="14"/>
      <c r="CI39" s="14"/>
      <c r="CJ39" s="14"/>
      <c r="CK39" s="14"/>
      <c r="CL39" s="14"/>
      <c r="CM39" s="14"/>
      <c r="CN39" s="14"/>
      <c r="CO39" s="14"/>
      <c r="CP39" s="14"/>
      <c r="CQ39" s="14"/>
      <c r="CR39" s="14"/>
      <c r="CS39" s="14"/>
      <c r="CT39" s="14"/>
      <c r="CU39" s="14"/>
      <c r="CV39" s="14"/>
      <c r="CW39" s="14"/>
      <c r="CX39" s="14"/>
      <c r="CY39" s="14"/>
      <c r="CZ39" s="14"/>
      <c r="DA39" s="14"/>
      <c r="DB39" s="14"/>
      <c r="DC39" s="14"/>
      <c r="DD39" s="14"/>
      <c r="DE39" s="14"/>
      <c r="DF39" s="14"/>
      <c r="DG39" s="14"/>
      <c r="DH39" s="14"/>
      <c r="DI39" s="14"/>
      <c r="DJ39" s="14"/>
      <c r="DK39" s="14"/>
      <c r="DL39" s="14"/>
      <c r="DM39" s="14"/>
      <c r="DN39" s="14"/>
      <c r="DO39" s="14"/>
      <c r="DP39" s="14"/>
      <c r="DQ39" s="14"/>
      <c r="DR39" s="14"/>
      <c r="DS39" s="14"/>
      <c r="DT39" s="14"/>
      <c r="DU39" s="14"/>
      <c r="DV39" s="14"/>
      <c r="DW39" s="14"/>
      <c r="DX39" s="14"/>
      <c r="DY39" s="14"/>
      <c r="DZ39" s="14"/>
      <c r="EA39" s="14"/>
      <c r="EB39" s="14"/>
      <c r="EC39" s="14"/>
      <c r="ED39" s="14"/>
      <c r="EE39" s="14"/>
      <c r="EF39" s="14"/>
      <c r="EG39" s="14"/>
      <c r="EH39" s="14"/>
      <c r="EI39" s="14"/>
      <c r="EJ39" s="14"/>
      <c r="EK39" s="14"/>
      <c r="EL39" s="14"/>
      <c r="EM39" s="14"/>
      <c r="EN39" s="14"/>
    </row>
    <row r="40" spans="1:144" s="3" customFormat="1" ht="24" customHeight="1" x14ac:dyDescent="0.3">
      <c r="A40" s="140">
        <v>24</v>
      </c>
      <c r="B40" s="137" t="s">
        <v>295</v>
      </c>
      <c r="C40" s="166" t="s">
        <v>329</v>
      </c>
      <c r="D40" s="131">
        <v>26</v>
      </c>
      <c r="E40" s="131">
        <v>19</v>
      </c>
      <c r="F40" s="131">
        <v>15</v>
      </c>
      <c r="G40" s="131">
        <v>20</v>
      </c>
      <c r="H40" s="131">
        <v>16</v>
      </c>
      <c r="I40" s="131">
        <v>20</v>
      </c>
      <c r="J40" s="131">
        <v>18</v>
      </c>
      <c r="K40" s="131">
        <v>10</v>
      </c>
      <c r="L40" s="197">
        <v>48</v>
      </c>
      <c r="M40" s="199" t="s">
        <v>217</v>
      </c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  <c r="AI40" s="14"/>
      <c r="AJ40" s="14"/>
      <c r="AK40" s="14"/>
      <c r="AL40" s="14"/>
      <c r="AM40" s="14"/>
      <c r="AN40" s="14"/>
      <c r="AO40" s="14"/>
      <c r="AP40" s="14"/>
      <c r="AQ40" s="14"/>
      <c r="AR40" s="14"/>
      <c r="AS40" s="14"/>
      <c r="AT40" s="14"/>
      <c r="AU40" s="14"/>
      <c r="AV40" s="14"/>
      <c r="AW40" s="14"/>
      <c r="AX40" s="14"/>
      <c r="AY40" s="14"/>
      <c r="AZ40" s="14"/>
      <c r="BA40" s="14"/>
      <c r="BB40" s="14"/>
      <c r="BC40" s="14"/>
      <c r="BD40" s="14"/>
      <c r="BE40" s="14"/>
      <c r="BF40" s="14"/>
      <c r="BG40" s="14"/>
      <c r="BH40" s="14"/>
      <c r="BI40" s="14"/>
      <c r="BJ40" s="14"/>
      <c r="BK40" s="14"/>
      <c r="BL40" s="14"/>
      <c r="BM40" s="14"/>
      <c r="BN40" s="14"/>
      <c r="BO40" s="14"/>
      <c r="BP40" s="14"/>
      <c r="BQ40" s="14"/>
      <c r="BR40" s="14"/>
      <c r="BS40" s="14"/>
      <c r="BT40" s="14"/>
      <c r="BU40" s="14"/>
      <c r="BV40" s="14"/>
      <c r="BW40" s="14"/>
      <c r="BX40" s="14"/>
      <c r="BY40" s="14"/>
      <c r="BZ40" s="14"/>
      <c r="CA40" s="14"/>
      <c r="CB40" s="14"/>
      <c r="CC40" s="14"/>
      <c r="CD40" s="14"/>
      <c r="CE40" s="14"/>
      <c r="CF40" s="14"/>
      <c r="CG40" s="14"/>
      <c r="CH40" s="14"/>
      <c r="CI40" s="14"/>
      <c r="CJ40" s="14"/>
      <c r="CK40" s="14"/>
      <c r="CL40" s="14"/>
      <c r="CM40" s="14"/>
      <c r="CN40" s="14"/>
      <c r="CO40" s="14"/>
      <c r="CP40" s="14"/>
      <c r="CQ40" s="14"/>
      <c r="CR40" s="14"/>
      <c r="CS40" s="14"/>
      <c r="CT40" s="14"/>
      <c r="CU40" s="14"/>
      <c r="CV40" s="14"/>
      <c r="CW40" s="14"/>
      <c r="CX40" s="14"/>
      <c r="CY40" s="14"/>
      <c r="CZ40" s="14"/>
      <c r="DA40" s="14"/>
      <c r="DB40" s="14"/>
      <c r="DC40" s="14"/>
      <c r="DD40" s="14"/>
      <c r="DE40" s="14"/>
      <c r="DF40" s="14"/>
      <c r="DG40" s="14"/>
      <c r="DH40" s="14"/>
      <c r="DI40" s="14"/>
      <c r="DJ40" s="14"/>
      <c r="DK40" s="14"/>
      <c r="DL40" s="14"/>
      <c r="DM40" s="14"/>
      <c r="DN40" s="14"/>
      <c r="DO40" s="14"/>
      <c r="DP40" s="14"/>
      <c r="DQ40" s="14"/>
      <c r="DR40" s="14"/>
      <c r="DS40" s="14"/>
      <c r="DT40" s="14"/>
      <c r="DU40" s="14"/>
      <c r="DV40" s="14"/>
      <c r="DW40" s="14"/>
      <c r="DX40" s="14"/>
      <c r="DY40" s="14"/>
      <c r="DZ40" s="14"/>
      <c r="EA40" s="14"/>
      <c r="EB40" s="14"/>
      <c r="EC40" s="14"/>
      <c r="ED40" s="14"/>
      <c r="EE40" s="14"/>
      <c r="EF40" s="14"/>
      <c r="EG40" s="14"/>
      <c r="EH40" s="14"/>
      <c r="EI40" s="14"/>
      <c r="EJ40" s="14"/>
      <c r="EK40" s="14"/>
      <c r="EL40" s="14"/>
      <c r="EM40" s="14"/>
      <c r="EN40" s="14"/>
    </row>
    <row r="41" spans="1:144" s="3" customFormat="1" ht="24" customHeight="1" x14ac:dyDescent="0.3">
      <c r="A41" s="140">
        <v>25</v>
      </c>
      <c r="B41" s="137" t="s">
        <v>296</v>
      </c>
      <c r="C41" s="166" t="s">
        <v>330</v>
      </c>
      <c r="D41" s="131">
        <v>29</v>
      </c>
      <c r="E41" s="131">
        <v>22</v>
      </c>
      <c r="F41" s="131">
        <v>19</v>
      </c>
      <c r="G41" s="131">
        <v>24</v>
      </c>
      <c r="H41" s="131">
        <v>18</v>
      </c>
      <c r="I41" s="131">
        <v>20</v>
      </c>
      <c r="J41" s="131">
        <v>19</v>
      </c>
      <c r="K41" s="131">
        <v>10</v>
      </c>
      <c r="L41" s="197">
        <v>53</v>
      </c>
      <c r="M41" s="199" t="s">
        <v>217</v>
      </c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  <c r="AI41" s="14"/>
      <c r="AJ41" s="14"/>
      <c r="AK41" s="14"/>
      <c r="AL41" s="14"/>
      <c r="AM41" s="14"/>
      <c r="AN41" s="14"/>
      <c r="AO41" s="14"/>
      <c r="AP41" s="14"/>
      <c r="AQ41" s="14"/>
      <c r="AR41" s="14"/>
      <c r="AS41" s="14"/>
      <c r="AT41" s="14"/>
      <c r="AU41" s="14"/>
      <c r="AV41" s="14"/>
      <c r="AW41" s="14"/>
      <c r="AX41" s="14"/>
      <c r="AY41" s="14"/>
      <c r="AZ41" s="14"/>
      <c r="BA41" s="14"/>
      <c r="BB41" s="14"/>
      <c r="BC41" s="14"/>
      <c r="BD41" s="14"/>
      <c r="BE41" s="14"/>
      <c r="BF41" s="14"/>
      <c r="BG41" s="14"/>
      <c r="BH41" s="14"/>
      <c r="BI41" s="14"/>
      <c r="BJ41" s="14"/>
      <c r="BK41" s="14"/>
      <c r="BL41" s="14"/>
      <c r="BM41" s="14"/>
      <c r="BN41" s="14"/>
      <c r="BO41" s="14"/>
      <c r="BP41" s="14"/>
      <c r="BQ41" s="14"/>
      <c r="BR41" s="14"/>
      <c r="BS41" s="14"/>
      <c r="BT41" s="14"/>
      <c r="BU41" s="14"/>
      <c r="BV41" s="14"/>
      <c r="BW41" s="14"/>
      <c r="BX41" s="14"/>
      <c r="BY41" s="14"/>
      <c r="BZ41" s="14"/>
      <c r="CA41" s="14"/>
      <c r="CB41" s="14"/>
      <c r="CC41" s="14"/>
      <c r="CD41" s="14"/>
      <c r="CE41" s="14"/>
      <c r="CF41" s="14"/>
      <c r="CG41" s="14"/>
      <c r="CH41" s="14"/>
      <c r="CI41" s="14"/>
      <c r="CJ41" s="14"/>
      <c r="CK41" s="14"/>
      <c r="CL41" s="14"/>
      <c r="CM41" s="14"/>
      <c r="CN41" s="14"/>
      <c r="CO41" s="14"/>
      <c r="CP41" s="14"/>
      <c r="CQ41" s="14"/>
      <c r="CR41" s="14"/>
      <c r="CS41" s="14"/>
      <c r="CT41" s="14"/>
      <c r="CU41" s="14"/>
      <c r="CV41" s="14"/>
      <c r="CW41" s="14"/>
      <c r="CX41" s="14"/>
      <c r="CY41" s="14"/>
      <c r="CZ41" s="14"/>
      <c r="DA41" s="14"/>
      <c r="DB41" s="14"/>
      <c r="DC41" s="14"/>
      <c r="DD41" s="14"/>
      <c r="DE41" s="14"/>
      <c r="DF41" s="14"/>
      <c r="DG41" s="14"/>
      <c r="DH41" s="14"/>
      <c r="DI41" s="14"/>
      <c r="DJ41" s="14"/>
      <c r="DK41" s="14"/>
      <c r="DL41" s="14"/>
      <c r="DM41" s="14"/>
      <c r="DN41" s="14"/>
      <c r="DO41" s="14"/>
      <c r="DP41" s="14"/>
      <c r="DQ41" s="14"/>
      <c r="DR41" s="14"/>
      <c r="DS41" s="14"/>
      <c r="DT41" s="14"/>
      <c r="DU41" s="14"/>
      <c r="DV41" s="14"/>
      <c r="DW41" s="14"/>
      <c r="DX41" s="14"/>
      <c r="DY41" s="14"/>
      <c r="DZ41" s="14"/>
      <c r="EA41" s="14"/>
      <c r="EB41" s="14"/>
      <c r="EC41" s="14"/>
      <c r="ED41" s="14"/>
      <c r="EE41" s="14"/>
      <c r="EF41" s="14"/>
      <c r="EG41" s="14"/>
      <c r="EH41" s="14"/>
      <c r="EI41" s="14"/>
      <c r="EJ41" s="14"/>
      <c r="EK41" s="14"/>
      <c r="EL41" s="14"/>
      <c r="EM41" s="14"/>
      <c r="EN41" s="14"/>
    </row>
    <row r="42" spans="1:144" s="3" customFormat="1" ht="24" customHeight="1" x14ac:dyDescent="0.3">
      <c r="A42" s="140">
        <v>26</v>
      </c>
      <c r="B42" s="137" t="s">
        <v>297</v>
      </c>
      <c r="C42" s="166" t="s">
        <v>331</v>
      </c>
      <c r="D42" s="131">
        <v>19</v>
      </c>
      <c r="E42" s="131">
        <v>8</v>
      </c>
      <c r="F42" s="131">
        <v>12</v>
      </c>
      <c r="G42" s="131">
        <v>13</v>
      </c>
      <c r="H42" s="131">
        <v>18</v>
      </c>
      <c r="I42" s="131">
        <v>20</v>
      </c>
      <c r="J42" s="131">
        <v>19</v>
      </c>
      <c r="K42" s="131">
        <v>10</v>
      </c>
      <c r="L42" s="197">
        <v>42</v>
      </c>
      <c r="M42" s="199" t="s">
        <v>217</v>
      </c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14"/>
      <c r="AM42" s="14"/>
      <c r="AN42" s="14"/>
      <c r="AO42" s="14"/>
      <c r="AP42" s="14"/>
      <c r="AQ42" s="14"/>
      <c r="AR42" s="14"/>
      <c r="AS42" s="14"/>
      <c r="AT42" s="14"/>
      <c r="AU42" s="14"/>
      <c r="AV42" s="14"/>
      <c r="AW42" s="14"/>
      <c r="AX42" s="14"/>
      <c r="AY42" s="14"/>
      <c r="AZ42" s="14"/>
      <c r="BA42" s="14"/>
      <c r="BB42" s="14"/>
      <c r="BC42" s="14"/>
      <c r="BD42" s="14"/>
      <c r="BE42" s="14"/>
      <c r="BF42" s="14"/>
      <c r="BG42" s="14"/>
      <c r="BH42" s="14"/>
      <c r="BI42" s="14"/>
      <c r="BJ42" s="14"/>
      <c r="BK42" s="14"/>
      <c r="BL42" s="14"/>
      <c r="BM42" s="14"/>
      <c r="BN42" s="14"/>
      <c r="BO42" s="14"/>
      <c r="BP42" s="14"/>
      <c r="BQ42" s="14"/>
      <c r="BR42" s="14"/>
      <c r="BS42" s="14"/>
      <c r="BT42" s="14"/>
      <c r="BU42" s="14"/>
      <c r="BV42" s="14"/>
      <c r="BW42" s="14"/>
      <c r="BX42" s="14"/>
      <c r="BY42" s="14"/>
      <c r="BZ42" s="14"/>
      <c r="CA42" s="14"/>
      <c r="CB42" s="14"/>
      <c r="CC42" s="14"/>
      <c r="CD42" s="14"/>
      <c r="CE42" s="14"/>
      <c r="CF42" s="14"/>
      <c r="CG42" s="14"/>
      <c r="CH42" s="14"/>
      <c r="CI42" s="14"/>
      <c r="CJ42" s="14"/>
      <c r="CK42" s="14"/>
      <c r="CL42" s="14"/>
      <c r="CM42" s="14"/>
      <c r="CN42" s="14"/>
      <c r="CO42" s="14"/>
      <c r="CP42" s="14"/>
      <c r="CQ42" s="14"/>
      <c r="CR42" s="14"/>
      <c r="CS42" s="14"/>
      <c r="CT42" s="14"/>
      <c r="CU42" s="14"/>
      <c r="CV42" s="14"/>
      <c r="CW42" s="14"/>
      <c r="CX42" s="14"/>
      <c r="CY42" s="14"/>
      <c r="CZ42" s="14"/>
      <c r="DA42" s="14"/>
      <c r="DB42" s="14"/>
      <c r="DC42" s="14"/>
      <c r="DD42" s="14"/>
      <c r="DE42" s="14"/>
      <c r="DF42" s="14"/>
      <c r="DG42" s="14"/>
      <c r="DH42" s="14"/>
      <c r="DI42" s="14"/>
      <c r="DJ42" s="14"/>
      <c r="DK42" s="14"/>
      <c r="DL42" s="14"/>
      <c r="DM42" s="14"/>
      <c r="DN42" s="14"/>
      <c r="DO42" s="14"/>
      <c r="DP42" s="14"/>
      <c r="DQ42" s="14"/>
      <c r="DR42" s="14"/>
      <c r="DS42" s="14"/>
      <c r="DT42" s="14"/>
      <c r="DU42" s="14"/>
      <c r="DV42" s="14"/>
      <c r="DW42" s="14"/>
      <c r="DX42" s="14"/>
      <c r="DY42" s="14"/>
      <c r="DZ42" s="14"/>
      <c r="EA42" s="14"/>
      <c r="EB42" s="14"/>
      <c r="EC42" s="14"/>
      <c r="ED42" s="14"/>
      <c r="EE42" s="14"/>
      <c r="EF42" s="14"/>
      <c r="EG42" s="14"/>
      <c r="EH42" s="14"/>
      <c r="EI42" s="14"/>
      <c r="EJ42" s="14"/>
      <c r="EK42" s="14"/>
      <c r="EL42" s="14"/>
      <c r="EM42" s="14"/>
      <c r="EN42" s="14"/>
    </row>
    <row r="43" spans="1:144" s="3" customFormat="1" ht="24" customHeight="1" x14ac:dyDescent="0.3">
      <c r="A43" s="140">
        <v>27</v>
      </c>
      <c r="B43" s="137" t="s">
        <v>298</v>
      </c>
      <c r="C43" s="166" t="s">
        <v>332</v>
      </c>
      <c r="D43" s="131">
        <v>7</v>
      </c>
      <c r="E43" s="131">
        <v>7</v>
      </c>
      <c r="F43" s="131">
        <v>18</v>
      </c>
      <c r="G43" s="131">
        <v>11</v>
      </c>
      <c r="H43" s="131">
        <v>18</v>
      </c>
      <c r="I43" s="131">
        <v>18</v>
      </c>
      <c r="J43" s="131">
        <v>18</v>
      </c>
      <c r="K43" s="131">
        <v>10</v>
      </c>
      <c r="L43" s="197">
        <v>39</v>
      </c>
      <c r="M43" s="199" t="s">
        <v>217</v>
      </c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  <c r="AI43" s="14"/>
      <c r="AJ43" s="14"/>
      <c r="AK43" s="14"/>
      <c r="AL43" s="14"/>
      <c r="AM43" s="14"/>
      <c r="AN43" s="14"/>
      <c r="AO43" s="14"/>
      <c r="AP43" s="14"/>
      <c r="AQ43" s="14"/>
      <c r="AR43" s="14"/>
      <c r="AS43" s="14"/>
      <c r="AT43" s="14"/>
      <c r="AU43" s="14"/>
      <c r="AV43" s="14"/>
      <c r="AW43" s="14"/>
      <c r="AX43" s="14"/>
      <c r="AY43" s="14"/>
      <c r="AZ43" s="14"/>
      <c r="BA43" s="14"/>
      <c r="BB43" s="14"/>
      <c r="BC43" s="14"/>
      <c r="BD43" s="14"/>
      <c r="BE43" s="14"/>
      <c r="BF43" s="14"/>
      <c r="BG43" s="14"/>
      <c r="BH43" s="14"/>
      <c r="BI43" s="14"/>
      <c r="BJ43" s="14"/>
      <c r="BK43" s="14"/>
      <c r="BL43" s="14"/>
      <c r="BM43" s="14"/>
      <c r="BN43" s="14"/>
      <c r="BO43" s="14"/>
      <c r="BP43" s="14"/>
      <c r="BQ43" s="14"/>
      <c r="BR43" s="14"/>
      <c r="BS43" s="14"/>
      <c r="BT43" s="14"/>
      <c r="BU43" s="14"/>
      <c r="BV43" s="14"/>
      <c r="BW43" s="14"/>
      <c r="BX43" s="14"/>
      <c r="BY43" s="14"/>
      <c r="BZ43" s="14"/>
      <c r="CA43" s="14"/>
      <c r="CB43" s="14"/>
      <c r="CC43" s="14"/>
      <c r="CD43" s="14"/>
      <c r="CE43" s="14"/>
      <c r="CF43" s="14"/>
      <c r="CG43" s="14"/>
      <c r="CH43" s="14"/>
      <c r="CI43" s="14"/>
      <c r="CJ43" s="14"/>
      <c r="CK43" s="14"/>
      <c r="CL43" s="14"/>
      <c r="CM43" s="14"/>
      <c r="CN43" s="14"/>
      <c r="CO43" s="14"/>
      <c r="CP43" s="14"/>
      <c r="CQ43" s="14"/>
      <c r="CR43" s="14"/>
      <c r="CS43" s="14"/>
      <c r="CT43" s="14"/>
      <c r="CU43" s="14"/>
      <c r="CV43" s="14"/>
      <c r="CW43" s="14"/>
      <c r="CX43" s="14"/>
      <c r="CY43" s="14"/>
      <c r="CZ43" s="14"/>
      <c r="DA43" s="14"/>
      <c r="DB43" s="14"/>
      <c r="DC43" s="14"/>
      <c r="DD43" s="14"/>
      <c r="DE43" s="14"/>
      <c r="DF43" s="14"/>
      <c r="DG43" s="14"/>
      <c r="DH43" s="14"/>
      <c r="DI43" s="14"/>
      <c r="DJ43" s="14"/>
      <c r="DK43" s="14"/>
      <c r="DL43" s="14"/>
      <c r="DM43" s="14"/>
      <c r="DN43" s="14"/>
      <c r="DO43" s="14"/>
      <c r="DP43" s="14"/>
      <c r="DQ43" s="14"/>
      <c r="DR43" s="14"/>
      <c r="DS43" s="14"/>
      <c r="DT43" s="14"/>
      <c r="DU43" s="14"/>
      <c r="DV43" s="14"/>
      <c r="DW43" s="14"/>
      <c r="DX43" s="14"/>
      <c r="DY43" s="14"/>
      <c r="DZ43" s="14"/>
      <c r="EA43" s="14"/>
      <c r="EB43" s="14"/>
      <c r="EC43" s="14"/>
      <c r="ED43" s="14"/>
      <c r="EE43" s="14"/>
      <c r="EF43" s="14"/>
      <c r="EG43" s="14"/>
      <c r="EH43" s="14"/>
      <c r="EI43" s="14"/>
      <c r="EJ43" s="14"/>
      <c r="EK43" s="14"/>
      <c r="EL43" s="14"/>
      <c r="EM43" s="14"/>
      <c r="EN43" s="14"/>
    </row>
    <row r="44" spans="1:144" s="3" customFormat="1" ht="24" customHeight="1" x14ac:dyDescent="0.3">
      <c r="A44" s="140">
        <v>28</v>
      </c>
      <c r="B44" s="137" t="s">
        <v>299</v>
      </c>
      <c r="C44" s="166" t="s">
        <v>333</v>
      </c>
      <c r="D44" s="201">
        <v>17</v>
      </c>
      <c r="E44" s="201">
        <v>20</v>
      </c>
      <c r="F44" s="201">
        <v>20</v>
      </c>
      <c r="G44" s="201">
        <v>19</v>
      </c>
      <c r="H44" s="201">
        <v>18</v>
      </c>
      <c r="I44" s="201">
        <v>20</v>
      </c>
      <c r="J44" s="201">
        <v>19</v>
      </c>
      <c r="K44" s="201">
        <v>10</v>
      </c>
      <c r="L44" s="201">
        <v>48</v>
      </c>
      <c r="M44" s="199" t="s">
        <v>217</v>
      </c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  <c r="AI44" s="14"/>
      <c r="AJ44" s="14"/>
      <c r="AK44" s="14"/>
      <c r="AL44" s="14"/>
      <c r="AM44" s="14"/>
      <c r="AN44" s="14"/>
      <c r="AO44" s="14"/>
      <c r="AP44" s="14"/>
      <c r="AQ44" s="14"/>
      <c r="AR44" s="14"/>
      <c r="AS44" s="14"/>
      <c r="AT44" s="14"/>
      <c r="AU44" s="14"/>
      <c r="AV44" s="14"/>
      <c r="AW44" s="14"/>
      <c r="AX44" s="14"/>
      <c r="AY44" s="14"/>
      <c r="AZ44" s="14"/>
      <c r="BA44" s="14"/>
      <c r="BB44" s="14"/>
      <c r="BC44" s="14"/>
      <c r="BD44" s="14"/>
      <c r="BE44" s="14"/>
      <c r="BF44" s="14"/>
      <c r="BG44" s="14"/>
      <c r="BH44" s="14"/>
      <c r="BI44" s="14"/>
      <c r="BJ44" s="14"/>
      <c r="BK44" s="14"/>
      <c r="BL44" s="14"/>
      <c r="BM44" s="14"/>
      <c r="BN44" s="14"/>
      <c r="BO44" s="14"/>
      <c r="BP44" s="14"/>
      <c r="BQ44" s="14"/>
      <c r="BR44" s="14"/>
      <c r="BS44" s="14"/>
      <c r="BT44" s="14"/>
      <c r="BU44" s="14"/>
      <c r="BV44" s="14"/>
      <c r="BW44" s="14"/>
      <c r="BX44" s="14"/>
      <c r="BY44" s="14"/>
      <c r="BZ44" s="14"/>
      <c r="CA44" s="14"/>
      <c r="CB44" s="14"/>
      <c r="CC44" s="14"/>
      <c r="CD44" s="14"/>
      <c r="CE44" s="14"/>
      <c r="CF44" s="14"/>
      <c r="CG44" s="14"/>
      <c r="CH44" s="14"/>
      <c r="CI44" s="14"/>
      <c r="CJ44" s="14"/>
      <c r="CK44" s="14"/>
      <c r="CL44" s="14"/>
      <c r="CM44" s="14"/>
      <c r="CN44" s="14"/>
      <c r="CO44" s="14"/>
      <c r="CP44" s="14"/>
      <c r="CQ44" s="14"/>
      <c r="CR44" s="14"/>
      <c r="CS44" s="14"/>
      <c r="CT44" s="14"/>
      <c r="CU44" s="14"/>
      <c r="CV44" s="14"/>
      <c r="CW44" s="14"/>
      <c r="CX44" s="14"/>
      <c r="CY44" s="14"/>
      <c r="CZ44" s="14"/>
      <c r="DA44" s="14"/>
      <c r="DB44" s="14"/>
      <c r="DC44" s="14"/>
      <c r="DD44" s="14"/>
      <c r="DE44" s="14"/>
      <c r="DF44" s="14"/>
      <c r="DG44" s="14"/>
      <c r="DH44" s="14"/>
      <c r="DI44" s="14"/>
      <c r="DJ44" s="14"/>
      <c r="DK44" s="14"/>
      <c r="DL44" s="14"/>
      <c r="DM44" s="14"/>
      <c r="DN44" s="14"/>
      <c r="DO44" s="14"/>
      <c r="DP44" s="14"/>
      <c r="DQ44" s="14"/>
      <c r="DR44" s="14"/>
      <c r="DS44" s="14"/>
      <c r="DT44" s="14"/>
      <c r="DU44" s="14"/>
      <c r="DV44" s="14"/>
      <c r="DW44" s="14"/>
      <c r="DX44" s="14"/>
      <c r="DY44" s="14"/>
      <c r="DZ44" s="14"/>
      <c r="EA44" s="14"/>
      <c r="EB44" s="14"/>
      <c r="EC44" s="14"/>
      <c r="ED44" s="14"/>
      <c r="EE44" s="14"/>
      <c r="EF44" s="14"/>
      <c r="EG44" s="14"/>
      <c r="EH44" s="14"/>
      <c r="EI44" s="14"/>
      <c r="EJ44" s="14"/>
      <c r="EK44" s="14"/>
      <c r="EL44" s="14"/>
      <c r="EM44" s="14"/>
      <c r="EN44" s="14"/>
    </row>
    <row r="45" spans="1:144" s="3" customFormat="1" ht="24" customHeight="1" x14ac:dyDescent="0.3">
      <c r="A45" s="140">
        <v>29</v>
      </c>
      <c r="B45" s="137" t="s">
        <v>300</v>
      </c>
      <c r="C45" s="167" t="s">
        <v>334</v>
      </c>
      <c r="D45" s="131">
        <v>21</v>
      </c>
      <c r="E45" s="131">
        <v>7</v>
      </c>
      <c r="F45" s="131">
        <v>25</v>
      </c>
      <c r="G45" s="131">
        <v>18</v>
      </c>
      <c r="H45" s="131">
        <v>18</v>
      </c>
      <c r="I45" s="131">
        <v>20</v>
      </c>
      <c r="J45" s="131">
        <v>19</v>
      </c>
      <c r="K45" s="131">
        <v>10</v>
      </c>
      <c r="L45" s="197">
        <v>47</v>
      </c>
      <c r="M45" s="199" t="s">
        <v>217</v>
      </c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  <c r="AI45" s="14"/>
      <c r="AJ45" s="14"/>
      <c r="AK45" s="14"/>
      <c r="AL45" s="14"/>
      <c r="AM45" s="14"/>
      <c r="AN45" s="14"/>
      <c r="AO45" s="14"/>
      <c r="AP45" s="14"/>
      <c r="AQ45" s="14"/>
      <c r="AR45" s="14"/>
      <c r="AS45" s="14"/>
      <c r="AT45" s="14"/>
      <c r="AU45" s="14"/>
      <c r="AV45" s="14"/>
      <c r="AW45" s="14"/>
      <c r="AX45" s="14"/>
      <c r="AY45" s="14"/>
      <c r="AZ45" s="14"/>
      <c r="BA45" s="14"/>
      <c r="BB45" s="14"/>
      <c r="BC45" s="14"/>
      <c r="BD45" s="14"/>
      <c r="BE45" s="14"/>
      <c r="BF45" s="14"/>
      <c r="BG45" s="14"/>
      <c r="BH45" s="14"/>
      <c r="BI45" s="14"/>
      <c r="BJ45" s="14"/>
      <c r="BK45" s="14"/>
      <c r="BL45" s="14"/>
      <c r="BM45" s="14"/>
      <c r="BN45" s="14"/>
      <c r="BO45" s="14"/>
      <c r="BP45" s="14"/>
      <c r="BQ45" s="14"/>
      <c r="BR45" s="14"/>
      <c r="BS45" s="14"/>
      <c r="BT45" s="14"/>
      <c r="BU45" s="14"/>
      <c r="BV45" s="14"/>
      <c r="BW45" s="14"/>
      <c r="BX45" s="14"/>
      <c r="BY45" s="14"/>
      <c r="BZ45" s="14"/>
      <c r="CA45" s="14"/>
      <c r="CB45" s="14"/>
      <c r="CC45" s="14"/>
      <c r="CD45" s="14"/>
      <c r="CE45" s="14"/>
      <c r="CF45" s="14"/>
      <c r="CG45" s="14"/>
      <c r="CH45" s="14"/>
      <c r="CI45" s="14"/>
      <c r="CJ45" s="14"/>
      <c r="CK45" s="14"/>
      <c r="CL45" s="14"/>
      <c r="CM45" s="14"/>
      <c r="CN45" s="14"/>
      <c r="CO45" s="14"/>
      <c r="CP45" s="14"/>
      <c r="CQ45" s="14"/>
      <c r="CR45" s="14"/>
      <c r="CS45" s="14"/>
      <c r="CT45" s="14"/>
      <c r="CU45" s="14"/>
      <c r="CV45" s="14"/>
      <c r="CW45" s="14"/>
      <c r="CX45" s="14"/>
      <c r="CY45" s="14"/>
      <c r="CZ45" s="14"/>
      <c r="DA45" s="14"/>
      <c r="DB45" s="14"/>
      <c r="DC45" s="14"/>
      <c r="DD45" s="14"/>
      <c r="DE45" s="14"/>
      <c r="DF45" s="14"/>
      <c r="DG45" s="14"/>
      <c r="DH45" s="14"/>
      <c r="DI45" s="14"/>
      <c r="DJ45" s="14"/>
      <c r="DK45" s="14"/>
      <c r="DL45" s="14"/>
      <c r="DM45" s="14"/>
      <c r="DN45" s="14"/>
      <c r="DO45" s="14"/>
      <c r="DP45" s="14"/>
      <c r="DQ45" s="14"/>
      <c r="DR45" s="14"/>
      <c r="DS45" s="14"/>
      <c r="DT45" s="14"/>
      <c r="DU45" s="14"/>
      <c r="DV45" s="14"/>
      <c r="DW45" s="14"/>
      <c r="DX45" s="14"/>
      <c r="DY45" s="14"/>
      <c r="DZ45" s="14"/>
      <c r="EA45" s="14"/>
      <c r="EB45" s="14"/>
      <c r="EC45" s="14"/>
      <c r="ED45" s="14"/>
      <c r="EE45" s="14"/>
      <c r="EF45" s="14"/>
      <c r="EG45" s="14"/>
      <c r="EH45" s="14"/>
      <c r="EI45" s="14"/>
      <c r="EJ45" s="14"/>
      <c r="EK45" s="14"/>
      <c r="EL45" s="14"/>
      <c r="EM45" s="14"/>
      <c r="EN45" s="14"/>
    </row>
    <row r="46" spans="1:144" s="3" customFormat="1" ht="24" customHeight="1" x14ac:dyDescent="0.3">
      <c r="A46" s="140">
        <v>30</v>
      </c>
      <c r="B46" s="137" t="s">
        <v>302</v>
      </c>
      <c r="C46" s="167" t="s">
        <v>336</v>
      </c>
      <c r="D46" s="131">
        <v>19</v>
      </c>
      <c r="E46" s="131">
        <v>20</v>
      </c>
      <c r="F46" s="131">
        <v>14</v>
      </c>
      <c r="G46" s="131">
        <v>18</v>
      </c>
      <c r="H46" s="131">
        <v>14</v>
      </c>
      <c r="I46" s="131">
        <v>20</v>
      </c>
      <c r="J46" s="131">
        <v>17</v>
      </c>
      <c r="K46" s="131">
        <v>10</v>
      </c>
      <c r="L46" s="197">
        <v>45</v>
      </c>
      <c r="M46" s="199" t="s">
        <v>217</v>
      </c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  <c r="AI46" s="14"/>
      <c r="AJ46" s="14"/>
      <c r="AK46" s="14"/>
      <c r="AL46" s="14"/>
      <c r="AM46" s="14"/>
      <c r="AN46" s="14"/>
      <c r="AO46" s="14"/>
      <c r="AP46" s="14"/>
      <c r="AQ46" s="14"/>
      <c r="AR46" s="14"/>
      <c r="AS46" s="14"/>
      <c r="AT46" s="14"/>
      <c r="AU46" s="14"/>
      <c r="AV46" s="14"/>
      <c r="AW46" s="14"/>
      <c r="AX46" s="14"/>
      <c r="AY46" s="14"/>
      <c r="AZ46" s="14"/>
      <c r="BA46" s="14"/>
      <c r="BB46" s="14"/>
      <c r="BC46" s="14"/>
      <c r="BD46" s="14"/>
      <c r="BE46" s="14"/>
      <c r="BF46" s="14"/>
      <c r="BG46" s="14"/>
      <c r="BH46" s="14"/>
      <c r="BI46" s="14"/>
      <c r="BJ46" s="14"/>
      <c r="BK46" s="14"/>
      <c r="BL46" s="14"/>
      <c r="BM46" s="14"/>
      <c r="BN46" s="14"/>
      <c r="BO46" s="14"/>
      <c r="BP46" s="14"/>
      <c r="BQ46" s="14"/>
      <c r="BR46" s="14"/>
      <c r="BS46" s="14"/>
      <c r="BT46" s="14"/>
      <c r="BU46" s="14"/>
      <c r="BV46" s="14"/>
      <c r="BW46" s="14"/>
      <c r="BX46" s="14"/>
      <c r="BY46" s="14"/>
      <c r="BZ46" s="14"/>
      <c r="CA46" s="14"/>
      <c r="CB46" s="14"/>
      <c r="CC46" s="14"/>
      <c r="CD46" s="14"/>
      <c r="CE46" s="14"/>
      <c r="CF46" s="14"/>
      <c r="CG46" s="14"/>
      <c r="CH46" s="14"/>
      <c r="CI46" s="14"/>
      <c r="CJ46" s="14"/>
      <c r="CK46" s="14"/>
      <c r="CL46" s="14"/>
      <c r="CM46" s="14"/>
      <c r="CN46" s="14"/>
      <c r="CO46" s="14"/>
      <c r="CP46" s="14"/>
      <c r="CQ46" s="14"/>
      <c r="CR46" s="14"/>
      <c r="CS46" s="14"/>
      <c r="CT46" s="14"/>
      <c r="CU46" s="14"/>
      <c r="CV46" s="14"/>
      <c r="CW46" s="14"/>
      <c r="CX46" s="14"/>
      <c r="CY46" s="14"/>
      <c r="CZ46" s="14"/>
      <c r="DA46" s="14"/>
      <c r="DB46" s="14"/>
      <c r="DC46" s="14"/>
      <c r="DD46" s="14"/>
      <c r="DE46" s="14"/>
      <c r="DF46" s="14"/>
      <c r="DG46" s="14"/>
      <c r="DH46" s="14"/>
      <c r="DI46" s="14"/>
      <c r="DJ46" s="14"/>
      <c r="DK46" s="14"/>
      <c r="DL46" s="14"/>
      <c r="DM46" s="14"/>
      <c r="DN46" s="14"/>
      <c r="DO46" s="14"/>
      <c r="DP46" s="14"/>
      <c r="DQ46" s="14"/>
      <c r="DR46" s="14"/>
      <c r="DS46" s="14"/>
      <c r="DT46" s="14"/>
      <c r="DU46" s="14"/>
      <c r="DV46" s="14"/>
      <c r="DW46" s="14"/>
      <c r="DX46" s="14"/>
      <c r="DY46" s="14"/>
      <c r="DZ46" s="14"/>
      <c r="EA46" s="14"/>
      <c r="EB46" s="14"/>
      <c r="EC46" s="14"/>
      <c r="ED46" s="14"/>
      <c r="EE46" s="14"/>
      <c r="EF46" s="14"/>
      <c r="EG46" s="14"/>
      <c r="EH46" s="14"/>
      <c r="EI46" s="14"/>
      <c r="EJ46" s="14"/>
      <c r="EK46" s="14"/>
      <c r="EL46" s="14"/>
      <c r="EM46" s="14"/>
      <c r="EN46" s="14"/>
    </row>
    <row r="47" spans="1:144" s="3" customFormat="1" ht="24" customHeight="1" x14ac:dyDescent="0.3">
      <c r="A47" s="140">
        <v>31</v>
      </c>
      <c r="B47" s="137" t="s">
        <v>303</v>
      </c>
      <c r="C47" s="166" t="s">
        <v>337</v>
      </c>
      <c r="D47" s="131">
        <v>5</v>
      </c>
      <c r="E47" s="131">
        <v>3</v>
      </c>
      <c r="F47" s="131">
        <v>5</v>
      </c>
      <c r="G47" s="131">
        <v>5</v>
      </c>
      <c r="H47" s="131">
        <v>20</v>
      </c>
      <c r="I47" s="131">
        <v>16</v>
      </c>
      <c r="J47" s="131">
        <v>18</v>
      </c>
      <c r="K47" s="131">
        <v>10</v>
      </c>
      <c r="L47" s="197">
        <v>33</v>
      </c>
      <c r="M47" s="199" t="s">
        <v>217</v>
      </c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  <c r="AI47" s="14"/>
      <c r="AJ47" s="14"/>
      <c r="AK47" s="14"/>
      <c r="AL47" s="14"/>
      <c r="AM47" s="14"/>
      <c r="AN47" s="14"/>
      <c r="AO47" s="14"/>
      <c r="AP47" s="14"/>
      <c r="AQ47" s="14"/>
      <c r="AR47" s="14"/>
      <c r="AS47" s="14"/>
      <c r="AT47" s="14"/>
      <c r="AU47" s="14"/>
      <c r="AV47" s="14"/>
      <c r="AW47" s="14"/>
      <c r="AX47" s="14"/>
      <c r="AY47" s="14"/>
      <c r="AZ47" s="14"/>
      <c r="BA47" s="14"/>
      <c r="BB47" s="14"/>
      <c r="BC47" s="14"/>
      <c r="BD47" s="14"/>
      <c r="BE47" s="14"/>
      <c r="BF47" s="14"/>
      <c r="BG47" s="14"/>
      <c r="BH47" s="14"/>
      <c r="BI47" s="14"/>
      <c r="BJ47" s="14"/>
      <c r="BK47" s="14"/>
      <c r="BL47" s="14"/>
      <c r="BM47" s="14"/>
      <c r="BN47" s="14"/>
      <c r="BO47" s="14"/>
      <c r="BP47" s="14"/>
      <c r="BQ47" s="14"/>
      <c r="BR47" s="14"/>
      <c r="BS47" s="14"/>
      <c r="BT47" s="14"/>
      <c r="BU47" s="14"/>
      <c r="BV47" s="14"/>
      <c r="BW47" s="14"/>
      <c r="BX47" s="14"/>
      <c r="BY47" s="14"/>
      <c r="BZ47" s="14"/>
      <c r="CA47" s="14"/>
      <c r="CB47" s="14"/>
      <c r="CC47" s="14"/>
      <c r="CD47" s="14"/>
      <c r="CE47" s="14"/>
      <c r="CF47" s="14"/>
      <c r="CG47" s="14"/>
      <c r="CH47" s="14"/>
      <c r="CI47" s="14"/>
      <c r="CJ47" s="14"/>
      <c r="CK47" s="14"/>
      <c r="CL47" s="14"/>
      <c r="CM47" s="14"/>
      <c r="CN47" s="14"/>
      <c r="CO47" s="14"/>
      <c r="CP47" s="14"/>
      <c r="CQ47" s="14"/>
      <c r="CR47" s="14"/>
      <c r="CS47" s="14"/>
      <c r="CT47" s="14"/>
      <c r="CU47" s="14"/>
      <c r="CV47" s="14"/>
      <c r="CW47" s="14"/>
      <c r="CX47" s="14"/>
      <c r="CY47" s="14"/>
      <c r="CZ47" s="14"/>
      <c r="DA47" s="14"/>
      <c r="DB47" s="14"/>
      <c r="DC47" s="14"/>
      <c r="DD47" s="14"/>
      <c r="DE47" s="14"/>
      <c r="DF47" s="14"/>
      <c r="DG47" s="14"/>
      <c r="DH47" s="14"/>
      <c r="DI47" s="14"/>
      <c r="DJ47" s="14"/>
      <c r="DK47" s="14"/>
      <c r="DL47" s="14"/>
      <c r="DM47" s="14"/>
      <c r="DN47" s="14"/>
      <c r="DO47" s="14"/>
      <c r="DP47" s="14"/>
      <c r="DQ47" s="14"/>
      <c r="DR47" s="14"/>
      <c r="DS47" s="14"/>
      <c r="DT47" s="14"/>
      <c r="DU47" s="14"/>
      <c r="DV47" s="14"/>
      <c r="DW47" s="14"/>
      <c r="DX47" s="14"/>
      <c r="DY47" s="14"/>
      <c r="DZ47" s="14"/>
      <c r="EA47" s="14"/>
      <c r="EB47" s="14"/>
      <c r="EC47" s="14"/>
      <c r="ED47" s="14"/>
      <c r="EE47" s="14"/>
      <c r="EF47" s="14"/>
      <c r="EG47" s="14"/>
      <c r="EH47" s="14"/>
      <c r="EI47" s="14"/>
      <c r="EJ47" s="14"/>
      <c r="EK47" s="14"/>
      <c r="EL47" s="14"/>
      <c r="EM47" s="14"/>
      <c r="EN47" s="14"/>
    </row>
    <row r="48" spans="1:144" s="3" customFormat="1" ht="24" customHeight="1" x14ac:dyDescent="0.3">
      <c r="A48" s="140">
        <v>32</v>
      </c>
      <c r="B48" s="137" t="s">
        <v>304</v>
      </c>
      <c r="C48" s="166" t="s">
        <v>338</v>
      </c>
      <c r="D48" s="131">
        <v>28</v>
      </c>
      <c r="E48" s="131">
        <v>24</v>
      </c>
      <c r="F48" s="131">
        <v>25</v>
      </c>
      <c r="G48" s="131">
        <v>26</v>
      </c>
      <c r="H48" s="131">
        <v>20</v>
      </c>
      <c r="I48" s="131">
        <v>20</v>
      </c>
      <c r="J48" s="131">
        <v>20</v>
      </c>
      <c r="K48" s="131">
        <v>10</v>
      </c>
      <c r="L48" s="197">
        <v>56</v>
      </c>
      <c r="M48" s="199" t="s">
        <v>217</v>
      </c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14"/>
      <c r="AK48" s="14"/>
      <c r="AL48" s="14"/>
      <c r="AM48" s="14"/>
      <c r="AN48" s="14"/>
      <c r="AO48" s="14"/>
      <c r="AP48" s="14"/>
      <c r="AQ48" s="14"/>
      <c r="AR48" s="14"/>
      <c r="AS48" s="14"/>
      <c r="AT48" s="14"/>
      <c r="AU48" s="14"/>
      <c r="AV48" s="14"/>
      <c r="AW48" s="14"/>
      <c r="AX48" s="14"/>
      <c r="AY48" s="14"/>
      <c r="AZ48" s="14"/>
      <c r="BA48" s="14"/>
      <c r="BB48" s="14"/>
      <c r="BC48" s="14"/>
      <c r="BD48" s="14"/>
      <c r="BE48" s="14"/>
      <c r="BF48" s="14"/>
      <c r="BG48" s="14"/>
      <c r="BH48" s="14"/>
      <c r="BI48" s="14"/>
      <c r="BJ48" s="14"/>
      <c r="BK48" s="14"/>
      <c r="BL48" s="14"/>
      <c r="BM48" s="14"/>
      <c r="BN48" s="14"/>
      <c r="BO48" s="14"/>
      <c r="BP48" s="14"/>
      <c r="BQ48" s="14"/>
      <c r="BR48" s="14"/>
      <c r="BS48" s="14"/>
      <c r="BT48" s="14"/>
      <c r="BU48" s="14"/>
      <c r="BV48" s="14"/>
      <c r="BW48" s="14"/>
      <c r="BX48" s="14"/>
      <c r="BY48" s="14"/>
      <c r="BZ48" s="14"/>
      <c r="CA48" s="14"/>
      <c r="CB48" s="14"/>
      <c r="CC48" s="14"/>
      <c r="CD48" s="14"/>
      <c r="CE48" s="14"/>
      <c r="CF48" s="14"/>
      <c r="CG48" s="14"/>
      <c r="CH48" s="14"/>
      <c r="CI48" s="14"/>
      <c r="CJ48" s="14"/>
      <c r="CK48" s="14"/>
      <c r="CL48" s="14"/>
      <c r="CM48" s="14"/>
      <c r="CN48" s="14"/>
      <c r="CO48" s="14"/>
      <c r="CP48" s="14"/>
      <c r="CQ48" s="14"/>
      <c r="CR48" s="14"/>
      <c r="CS48" s="14"/>
      <c r="CT48" s="14"/>
      <c r="CU48" s="14"/>
      <c r="CV48" s="14"/>
      <c r="CW48" s="14"/>
      <c r="CX48" s="14"/>
      <c r="CY48" s="14"/>
      <c r="CZ48" s="14"/>
      <c r="DA48" s="14"/>
      <c r="DB48" s="14"/>
      <c r="DC48" s="14"/>
      <c r="DD48" s="14"/>
      <c r="DE48" s="14"/>
      <c r="DF48" s="14"/>
      <c r="DG48" s="14"/>
      <c r="DH48" s="14"/>
      <c r="DI48" s="14"/>
      <c r="DJ48" s="14"/>
      <c r="DK48" s="14"/>
      <c r="DL48" s="14"/>
      <c r="DM48" s="14"/>
      <c r="DN48" s="14"/>
      <c r="DO48" s="14"/>
      <c r="DP48" s="14"/>
      <c r="DQ48" s="14"/>
      <c r="DR48" s="14"/>
      <c r="DS48" s="14"/>
      <c r="DT48" s="14"/>
      <c r="DU48" s="14"/>
      <c r="DV48" s="14"/>
      <c r="DW48" s="14"/>
      <c r="DX48" s="14"/>
      <c r="DY48" s="14"/>
      <c r="DZ48" s="14"/>
      <c r="EA48" s="14"/>
      <c r="EB48" s="14"/>
      <c r="EC48" s="14"/>
      <c r="ED48" s="14"/>
      <c r="EE48" s="14"/>
      <c r="EF48" s="14"/>
      <c r="EG48" s="14"/>
      <c r="EH48" s="14"/>
      <c r="EI48" s="14"/>
      <c r="EJ48" s="14"/>
      <c r="EK48" s="14"/>
      <c r="EL48" s="14"/>
      <c r="EM48" s="14"/>
      <c r="EN48" s="14"/>
    </row>
    <row r="49" spans="1:144" s="3" customFormat="1" ht="24" customHeight="1" x14ac:dyDescent="0.3">
      <c r="A49" s="140">
        <v>33</v>
      </c>
      <c r="B49" s="137" t="s">
        <v>305</v>
      </c>
      <c r="C49" s="166" t="s">
        <v>339</v>
      </c>
      <c r="D49" s="131">
        <v>15</v>
      </c>
      <c r="E49" s="131">
        <v>9</v>
      </c>
      <c r="F49" s="131">
        <v>15</v>
      </c>
      <c r="G49" s="131">
        <v>13</v>
      </c>
      <c r="H49" s="131">
        <v>16</v>
      </c>
      <c r="I49" s="131">
        <v>18</v>
      </c>
      <c r="J49" s="131">
        <v>17</v>
      </c>
      <c r="K49" s="131">
        <v>10</v>
      </c>
      <c r="L49" s="197">
        <v>40</v>
      </c>
      <c r="M49" s="199" t="s">
        <v>217</v>
      </c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14"/>
      <c r="AL49" s="14"/>
      <c r="AM49" s="14"/>
      <c r="AN49" s="14"/>
      <c r="AO49" s="14"/>
      <c r="AP49" s="14"/>
      <c r="AQ49" s="14"/>
      <c r="AR49" s="14"/>
      <c r="AS49" s="14"/>
      <c r="AT49" s="14"/>
      <c r="AU49" s="14"/>
      <c r="AV49" s="14"/>
      <c r="AW49" s="14"/>
      <c r="AX49" s="14"/>
      <c r="AY49" s="14"/>
      <c r="AZ49" s="14"/>
      <c r="BA49" s="14"/>
      <c r="BB49" s="14"/>
      <c r="BC49" s="14"/>
      <c r="BD49" s="14"/>
      <c r="BE49" s="14"/>
      <c r="BF49" s="14"/>
      <c r="BG49" s="14"/>
      <c r="BH49" s="14"/>
      <c r="BI49" s="14"/>
      <c r="BJ49" s="14"/>
      <c r="BK49" s="14"/>
      <c r="BL49" s="14"/>
      <c r="BM49" s="14"/>
      <c r="BN49" s="14"/>
      <c r="BO49" s="14"/>
      <c r="BP49" s="14"/>
      <c r="BQ49" s="14"/>
      <c r="BR49" s="14"/>
      <c r="BS49" s="14"/>
      <c r="BT49" s="14"/>
      <c r="BU49" s="14"/>
      <c r="BV49" s="14"/>
      <c r="BW49" s="14"/>
      <c r="BX49" s="14"/>
      <c r="BY49" s="14"/>
      <c r="BZ49" s="14"/>
      <c r="CA49" s="14"/>
      <c r="CB49" s="14"/>
      <c r="CC49" s="14"/>
      <c r="CD49" s="14"/>
      <c r="CE49" s="14"/>
      <c r="CF49" s="14"/>
      <c r="CG49" s="14"/>
      <c r="CH49" s="14"/>
      <c r="CI49" s="14"/>
      <c r="CJ49" s="14"/>
      <c r="CK49" s="14"/>
      <c r="CL49" s="14"/>
      <c r="CM49" s="14"/>
      <c r="CN49" s="14"/>
      <c r="CO49" s="14"/>
      <c r="CP49" s="14"/>
      <c r="CQ49" s="14"/>
      <c r="CR49" s="14"/>
      <c r="CS49" s="14"/>
      <c r="CT49" s="14"/>
      <c r="CU49" s="14"/>
      <c r="CV49" s="14"/>
      <c r="CW49" s="14"/>
      <c r="CX49" s="14"/>
      <c r="CY49" s="14"/>
      <c r="CZ49" s="14"/>
      <c r="DA49" s="14"/>
      <c r="DB49" s="14"/>
      <c r="DC49" s="14"/>
      <c r="DD49" s="14"/>
      <c r="DE49" s="14"/>
      <c r="DF49" s="14"/>
      <c r="DG49" s="14"/>
      <c r="DH49" s="14"/>
      <c r="DI49" s="14"/>
      <c r="DJ49" s="14"/>
      <c r="DK49" s="14"/>
      <c r="DL49" s="14"/>
      <c r="DM49" s="14"/>
      <c r="DN49" s="14"/>
      <c r="DO49" s="14"/>
      <c r="DP49" s="14"/>
      <c r="DQ49" s="14"/>
      <c r="DR49" s="14"/>
      <c r="DS49" s="14"/>
      <c r="DT49" s="14"/>
      <c r="DU49" s="14"/>
      <c r="DV49" s="14"/>
      <c r="DW49" s="14"/>
      <c r="DX49" s="14"/>
      <c r="DY49" s="14"/>
      <c r="DZ49" s="14"/>
      <c r="EA49" s="14"/>
      <c r="EB49" s="14"/>
      <c r="EC49" s="14"/>
      <c r="ED49" s="14"/>
      <c r="EE49" s="14"/>
      <c r="EF49" s="14"/>
      <c r="EG49" s="14"/>
      <c r="EH49" s="14"/>
      <c r="EI49" s="14"/>
      <c r="EJ49" s="14"/>
      <c r="EK49" s="14"/>
      <c r="EL49" s="14"/>
      <c r="EM49" s="14"/>
      <c r="EN49" s="14"/>
    </row>
    <row r="50" spans="1:144" s="3" customFormat="1" ht="24" customHeight="1" x14ac:dyDescent="0.3">
      <c r="A50" s="144">
        <v>34</v>
      </c>
      <c r="B50" s="137" t="s">
        <v>306</v>
      </c>
      <c r="C50" s="168" t="s">
        <v>340</v>
      </c>
      <c r="D50" s="131">
        <v>20</v>
      </c>
      <c r="E50" s="131">
        <v>12</v>
      </c>
      <c r="F50" s="131">
        <v>19</v>
      </c>
      <c r="G50" s="131">
        <v>17</v>
      </c>
      <c r="H50" s="131">
        <v>14</v>
      </c>
      <c r="I50" s="131">
        <v>18</v>
      </c>
      <c r="J50" s="131">
        <v>16</v>
      </c>
      <c r="K50" s="131">
        <v>10</v>
      </c>
      <c r="L50" s="197">
        <v>43</v>
      </c>
      <c r="M50" s="199" t="s">
        <v>217</v>
      </c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4"/>
      <c r="AJ50" s="14"/>
      <c r="AK50" s="14"/>
      <c r="AL50" s="14"/>
      <c r="AM50" s="14"/>
      <c r="AN50" s="14"/>
      <c r="AO50" s="14"/>
      <c r="AP50" s="14"/>
      <c r="AQ50" s="14"/>
      <c r="AR50" s="14"/>
      <c r="AS50" s="14"/>
      <c r="AT50" s="14"/>
      <c r="AU50" s="14"/>
      <c r="AV50" s="14"/>
      <c r="AW50" s="14"/>
      <c r="AX50" s="14"/>
      <c r="AY50" s="14"/>
      <c r="AZ50" s="14"/>
      <c r="BA50" s="14"/>
      <c r="BB50" s="14"/>
      <c r="BC50" s="14"/>
      <c r="BD50" s="14"/>
      <c r="BE50" s="14"/>
      <c r="BF50" s="14"/>
      <c r="BG50" s="14"/>
      <c r="BH50" s="14"/>
      <c r="BI50" s="14"/>
      <c r="BJ50" s="14"/>
      <c r="BK50" s="14"/>
      <c r="BL50" s="14"/>
      <c r="BM50" s="14"/>
      <c r="BN50" s="14"/>
      <c r="BO50" s="14"/>
      <c r="BP50" s="14"/>
      <c r="BQ50" s="14"/>
      <c r="BR50" s="14"/>
      <c r="BS50" s="14"/>
      <c r="BT50" s="14"/>
      <c r="BU50" s="14"/>
      <c r="BV50" s="14"/>
      <c r="BW50" s="14"/>
      <c r="BX50" s="14"/>
      <c r="BY50" s="14"/>
      <c r="BZ50" s="14"/>
      <c r="CA50" s="14"/>
      <c r="CB50" s="14"/>
      <c r="CC50" s="14"/>
      <c r="CD50" s="14"/>
      <c r="CE50" s="14"/>
      <c r="CF50" s="14"/>
      <c r="CG50" s="14"/>
      <c r="CH50" s="14"/>
      <c r="CI50" s="14"/>
      <c r="CJ50" s="14"/>
      <c r="CK50" s="14"/>
      <c r="CL50" s="14"/>
      <c r="CM50" s="14"/>
      <c r="CN50" s="14"/>
      <c r="CO50" s="14"/>
      <c r="CP50" s="14"/>
      <c r="CQ50" s="14"/>
      <c r="CR50" s="14"/>
      <c r="CS50" s="14"/>
      <c r="CT50" s="14"/>
      <c r="CU50" s="14"/>
      <c r="CV50" s="14"/>
      <c r="CW50" s="14"/>
      <c r="CX50" s="14"/>
      <c r="CY50" s="14"/>
      <c r="CZ50" s="14"/>
      <c r="DA50" s="14"/>
      <c r="DB50" s="14"/>
      <c r="DC50" s="14"/>
      <c r="DD50" s="14"/>
      <c r="DE50" s="14"/>
      <c r="DF50" s="14"/>
      <c r="DG50" s="14"/>
      <c r="DH50" s="14"/>
      <c r="DI50" s="14"/>
      <c r="DJ50" s="14"/>
      <c r="DK50" s="14"/>
      <c r="DL50" s="14"/>
      <c r="DM50" s="14"/>
      <c r="DN50" s="14"/>
      <c r="DO50" s="14"/>
      <c r="DP50" s="14"/>
      <c r="DQ50" s="14"/>
      <c r="DR50" s="14"/>
      <c r="DS50" s="14"/>
      <c r="DT50" s="14"/>
      <c r="DU50" s="14"/>
      <c r="DV50" s="14"/>
      <c r="DW50" s="14"/>
      <c r="DX50" s="14"/>
      <c r="DY50" s="14"/>
      <c r="DZ50" s="14"/>
      <c r="EA50" s="14"/>
      <c r="EB50" s="14"/>
      <c r="EC50" s="14"/>
      <c r="ED50" s="14"/>
      <c r="EE50" s="14"/>
      <c r="EF50" s="14"/>
      <c r="EG50" s="14"/>
      <c r="EH50" s="14"/>
      <c r="EI50" s="14"/>
      <c r="EJ50" s="14"/>
      <c r="EK50" s="14"/>
      <c r="EL50" s="14"/>
      <c r="EM50" s="14"/>
      <c r="EN50" s="14"/>
    </row>
    <row r="51" spans="1:144" s="3" customFormat="1" ht="24" customHeight="1" x14ac:dyDescent="0.3">
      <c r="A51" s="140">
        <v>35</v>
      </c>
      <c r="B51" s="137" t="s">
        <v>307</v>
      </c>
      <c r="C51" s="166" t="s">
        <v>341</v>
      </c>
      <c r="D51" s="131">
        <v>4</v>
      </c>
      <c r="E51" s="131">
        <v>10</v>
      </c>
      <c r="F51" s="131">
        <v>6</v>
      </c>
      <c r="G51" s="131">
        <v>7</v>
      </c>
      <c r="H51" s="131">
        <v>14</v>
      </c>
      <c r="I51" s="131">
        <v>18</v>
      </c>
      <c r="J51" s="131">
        <v>16</v>
      </c>
      <c r="K51" s="131">
        <v>10</v>
      </c>
      <c r="L51" s="197">
        <v>33</v>
      </c>
      <c r="M51" s="199" t="s">
        <v>217</v>
      </c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4"/>
      <c r="AI51" s="14"/>
      <c r="AJ51" s="14"/>
      <c r="AK51" s="14"/>
      <c r="AL51" s="14"/>
      <c r="AM51" s="14"/>
      <c r="AN51" s="14"/>
      <c r="AO51" s="14"/>
      <c r="AP51" s="14"/>
      <c r="AQ51" s="14"/>
      <c r="AR51" s="14"/>
      <c r="AS51" s="14"/>
      <c r="AT51" s="14"/>
      <c r="AU51" s="14"/>
      <c r="AV51" s="14"/>
      <c r="AW51" s="14"/>
      <c r="AX51" s="14"/>
      <c r="AY51" s="14"/>
      <c r="AZ51" s="14"/>
      <c r="BA51" s="14"/>
      <c r="BB51" s="14"/>
      <c r="BC51" s="14"/>
      <c r="BD51" s="14"/>
      <c r="BE51" s="14"/>
      <c r="BF51" s="14"/>
      <c r="BG51" s="14"/>
      <c r="BH51" s="14"/>
      <c r="BI51" s="14"/>
      <c r="BJ51" s="14"/>
      <c r="BK51" s="14"/>
      <c r="BL51" s="14"/>
      <c r="BM51" s="14"/>
      <c r="BN51" s="14"/>
      <c r="BO51" s="14"/>
      <c r="BP51" s="14"/>
      <c r="BQ51" s="14"/>
      <c r="BR51" s="14"/>
      <c r="BS51" s="14"/>
      <c r="BT51" s="14"/>
      <c r="BU51" s="14"/>
      <c r="BV51" s="14"/>
      <c r="BW51" s="14"/>
      <c r="BX51" s="14"/>
      <c r="BY51" s="14"/>
      <c r="BZ51" s="14"/>
      <c r="CA51" s="14"/>
      <c r="CB51" s="14"/>
      <c r="CC51" s="14"/>
      <c r="CD51" s="14"/>
      <c r="CE51" s="14"/>
      <c r="CF51" s="14"/>
      <c r="CG51" s="14"/>
      <c r="CH51" s="14"/>
      <c r="CI51" s="14"/>
      <c r="CJ51" s="14"/>
      <c r="CK51" s="14"/>
      <c r="CL51" s="14"/>
      <c r="CM51" s="14"/>
      <c r="CN51" s="14"/>
      <c r="CO51" s="14"/>
      <c r="CP51" s="14"/>
      <c r="CQ51" s="14"/>
      <c r="CR51" s="14"/>
      <c r="CS51" s="14"/>
      <c r="CT51" s="14"/>
      <c r="CU51" s="14"/>
      <c r="CV51" s="14"/>
      <c r="CW51" s="14"/>
      <c r="CX51" s="14"/>
      <c r="CY51" s="14"/>
      <c r="CZ51" s="14"/>
      <c r="DA51" s="14"/>
      <c r="DB51" s="14"/>
      <c r="DC51" s="14"/>
      <c r="DD51" s="14"/>
      <c r="DE51" s="14"/>
      <c r="DF51" s="14"/>
      <c r="DG51" s="14"/>
      <c r="DH51" s="14"/>
      <c r="DI51" s="14"/>
      <c r="DJ51" s="14"/>
      <c r="DK51" s="14"/>
      <c r="DL51" s="14"/>
      <c r="DM51" s="14"/>
      <c r="DN51" s="14"/>
      <c r="DO51" s="14"/>
      <c r="DP51" s="14"/>
      <c r="DQ51" s="14"/>
      <c r="DR51" s="14"/>
      <c r="DS51" s="14"/>
      <c r="DT51" s="14"/>
      <c r="DU51" s="14"/>
      <c r="DV51" s="14"/>
      <c r="DW51" s="14"/>
      <c r="DX51" s="14"/>
      <c r="DY51" s="14"/>
      <c r="DZ51" s="14"/>
      <c r="EA51" s="14"/>
      <c r="EB51" s="14"/>
      <c r="EC51" s="14"/>
      <c r="ED51" s="14"/>
      <c r="EE51" s="14"/>
      <c r="EF51" s="14"/>
      <c r="EG51" s="14"/>
      <c r="EH51" s="14"/>
      <c r="EI51" s="14"/>
      <c r="EJ51" s="14"/>
      <c r="EK51" s="14"/>
      <c r="EL51" s="14"/>
      <c r="EM51" s="14"/>
      <c r="EN51" s="14"/>
    </row>
    <row r="52" spans="1:144" s="3" customFormat="1" ht="24" customHeight="1" x14ac:dyDescent="0.3">
      <c r="A52" s="140">
        <v>36</v>
      </c>
      <c r="B52" s="137" t="s">
        <v>308</v>
      </c>
      <c r="C52" s="166" t="s">
        <v>342</v>
      </c>
      <c r="D52" s="131">
        <v>9</v>
      </c>
      <c r="E52" s="131">
        <v>6</v>
      </c>
      <c r="F52" s="131">
        <v>4</v>
      </c>
      <c r="G52" s="131">
        <v>7</v>
      </c>
      <c r="H52" s="131">
        <v>10</v>
      </c>
      <c r="I52" s="131">
        <v>14</v>
      </c>
      <c r="J52" s="131">
        <v>12</v>
      </c>
      <c r="K52" s="131">
        <v>8</v>
      </c>
      <c r="L52" s="197">
        <v>27</v>
      </c>
      <c r="M52" s="199" t="s">
        <v>217</v>
      </c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4"/>
      <c r="AI52" s="14"/>
      <c r="AJ52" s="14"/>
      <c r="AK52" s="14"/>
      <c r="AL52" s="14"/>
      <c r="AM52" s="14"/>
      <c r="AN52" s="14"/>
      <c r="AO52" s="14"/>
      <c r="AP52" s="14"/>
      <c r="AQ52" s="14"/>
      <c r="AR52" s="14"/>
      <c r="AS52" s="14"/>
      <c r="AT52" s="14"/>
      <c r="AU52" s="14"/>
      <c r="AV52" s="14"/>
      <c r="AW52" s="14"/>
      <c r="AX52" s="14"/>
      <c r="AY52" s="14"/>
      <c r="AZ52" s="14"/>
      <c r="BA52" s="14"/>
      <c r="BB52" s="14"/>
      <c r="BC52" s="14"/>
      <c r="BD52" s="14"/>
      <c r="BE52" s="14"/>
      <c r="BF52" s="14"/>
      <c r="BG52" s="14"/>
      <c r="BH52" s="14"/>
      <c r="BI52" s="14"/>
      <c r="BJ52" s="14"/>
      <c r="BK52" s="14"/>
      <c r="BL52" s="14"/>
      <c r="BM52" s="14"/>
      <c r="BN52" s="14"/>
      <c r="BO52" s="14"/>
      <c r="BP52" s="14"/>
      <c r="BQ52" s="14"/>
      <c r="BR52" s="14"/>
      <c r="BS52" s="14"/>
      <c r="BT52" s="14"/>
      <c r="BU52" s="14"/>
      <c r="BV52" s="14"/>
      <c r="BW52" s="14"/>
      <c r="BX52" s="14"/>
      <c r="BY52" s="14"/>
      <c r="BZ52" s="14"/>
      <c r="CA52" s="14"/>
      <c r="CB52" s="14"/>
      <c r="CC52" s="14"/>
      <c r="CD52" s="14"/>
      <c r="CE52" s="14"/>
      <c r="CF52" s="14"/>
      <c r="CG52" s="14"/>
      <c r="CH52" s="14"/>
      <c r="CI52" s="14"/>
      <c r="CJ52" s="14"/>
      <c r="CK52" s="14"/>
      <c r="CL52" s="14"/>
      <c r="CM52" s="14"/>
      <c r="CN52" s="14"/>
      <c r="CO52" s="14"/>
      <c r="CP52" s="14"/>
      <c r="CQ52" s="14"/>
      <c r="CR52" s="14"/>
      <c r="CS52" s="14"/>
      <c r="CT52" s="14"/>
      <c r="CU52" s="14"/>
      <c r="CV52" s="14"/>
      <c r="CW52" s="14"/>
      <c r="CX52" s="14"/>
      <c r="CY52" s="14"/>
      <c r="CZ52" s="14"/>
      <c r="DA52" s="14"/>
      <c r="DB52" s="14"/>
      <c r="DC52" s="14"/>
      <c r="DD52" s="14"/>
      <c r="DE52" s="14"/>
      <c r="DF52" s="14"/>
      <c r="DG52" s="14"/>
      <c r="DH52" s="14"/>
      <c r="DI52" s="14"/>
      <c r="DJ52" s="14"/>
      <c r="DK52" s="14"/>
      <c r="DL52" s="14"/>
      <c r="DM52" s="14"/>
      <c r="DN52" s="14"/>
      <c r="DO52" s="14"/>
      <c r="DP52" s="14"/>
      <c r="DQ52" s="14"/>
      <c r="DR52" s="14"/>
      <c r="DS52" s="14"/>
      <c r="DT52" s="14"/>
      <c r="DU52" s="14"/>
      <c r="DV52" s="14"/>
      <c r="DW52" s="14"/>
      <c r="DX52" s="14"/>
      <c r="DY52" s="14"/>
      <c r="DZ52" s="14"/>
      <c r="EA52" s="14"/>
      <c r="EB52" s="14"/>
      <c r="EC52" s="14"/>
      <c r="ED52" s="14"/>
      <c r="EE52" s="14"/>
      <c r="EF52" s="14"/>
      <c r="EG52" s="14"/>
      <c r="EH52" s="14"/>
      <c r="EI52" s="14"/>
      <c r="EJ52" s="14"/>
      <c r="EK52" s="14"/>
      <c r="EL52" s="14"/>
      <c r="EM52" s="14"/>
      <c r="EN52" s="14"/>
    </row>
    <row r="53" spans="1:144" s="3" customFormat="1" ht="24" customHeight="1" x14ac:dyDescent="0.3">
      <c r="A53" s="140">
        <v>37</v>
      </c>
      <c r="B53" s="137" t="s">
        <v>309</v>
      </c>
      <c r="C53" s="166" t="s">
        <v>343</v>
      </c>
      <c r="D53" s="131">
        <v>29</v>
      </c>
      <c r="E53" s="131">
        <v>21</v>
      </c>
      <c r="F53" s="131">
        <v>25</v>
      </c>
      <c r="G53" s="131">
        <v>25</v>
      </c>
      <c r="H53" s="131">
        <v>16</v>
      </c>
      <c r="I53" s="131">
        <v>18</v>
      </c>
      <c r="J53" s="131">
        <v>17</v>
      </c>
      <c r="K53" s="131">
        <v>10</v>
      </c>
      <c r="L53" s="197">
        <v>52</v>
      </c>
      <c r="M53" s="199" t="s">
        <v>217</v>
      </c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  <c r="AF53" s="14"/>
      <c r="AG53" s="14"/>
      <c r="AH53" s="14"/>
      <c r="AI53" s="14"/>
      <c r="AJ53" s="14"/>
      <c r="AK53" s="14"/>
      <c r="AL53" s="14"/>
      <c r="AM53" s="14"/>
      <c r="AN53" s="14"/>
      <c r="AO53" s="14"/>
      <c r="AP53" s="14"/>
      <c r="AQ53" s="14"/>
      <c r="AR53" s="14"/>
      <c r="AS53" s="14"/>
      <c r="AT53" s="14"/>
      <c r="AU53" s="14"/>
      <c r="AV53" s="14"/>
      <c r="AW53" s="14"/>
      <c r="AX53" s="14"/>
      <c r="AY53" s="14"/>
      <c r="AZ53" s="14"/>
      <c r="BA53" s="14"/>
      <c r="BB53" s="14"/>
      <c r="BC53" s="14"/>
      <c r="BD53" s="14"/>
      <c r="BE53" s="14"/>
      <c r="BF53" s="14"/>
      <c r="BG53" s="14"/>
      <c r="BH53" s="14"/>
      <c r="BI53" s="14"/>
      <c r="BJ53" s="14"/>
      <c r="BK53" s="14"/>
      <c r="BL53" s="14"/>
      <c r="BM53" s="14"/>
      <c r="BN53" s="14"/>
      <c r="BO53" s="14"/>
      <c r="BP53" s="14"/>
      <c r="BQ53" s="14"/>
      <c r="BR53" s="14"/>
      <c r="BS53" s="14"/>
      <c r="BT53" s="14"/>
      <c r="BU53" s="14"/>
      <c r="BV53" s="14"/>
      <c r="BW53" s="14"/>
      <c r="BX53" s="14"/>
      <c r="BY53" s="14"/>
      <c r="BZ53" s="14"/>
      <c r="CA53" s="14"/>
      <c r="CB53" s="14"/>
      <c r="CC53" s="14"/>
      <c r="CD53" s="14"/>
      <c r="CE53" s="14"/>
      <c r="CF53" s="14"/>
      <c r="CG53" s="14"/>
      <c r="CH53" s="14"/>
      <c r="CI53" s="14"/>
      <c r="CJ53" s="14"/>
      <c r="CK53" s="14"/>
      <c r="CL53" s="14"/>
      <c r="CM53" s="14"/>
      <c r="CN53" s="14"/>
      <c r="CO53" s="14"/>
      <c r="CP53" s="14"/>
      <c r="CQ53" s="14"/>
      <c r="CR53" s="14"/>
      <c r="CS53" s="14"/>
      <c r="CT53" s="14"/>
      <c r="CU53" s="14"/>
      <c r="CV53" s="14"/>
      <c r="CW53" s="14"/>
      <c r="CX53" s="14"/>
      <c r="CY53" s="14"/>
      <c r="CZ53" s="14"/>
      <c r="DA53" s="14"/>
      <c r="DB53" s="14"/>
      <c r="DC53" s="14"/>
      <c r="DD53" s="14"/>
      <c r="DE53" s="14"/>
      <c r="DF53" s="14"/>
      <c r="DG53" s="14"/>
      <c r="DH53" s="14"/>
      <c r="DI53" s="14"/>
      <c r="DJ53" s="14"/>
      <c r="DK53" s="14"/>
      <c r="DL53" s="14"/>
      <c r="DM53" s="14"/>
      <c r="DN53" s="14"/>
      <c r="DO53" s="14"/>
      <c r="DP53" s="14"/>
      <c r="DQ53" s="14"/>
      <c r="DR53" s="14"/>
      <c r="DS53" s="14"/>
      <c r="DT53" s="14"/>
      <c r="DU53" s="14"/>
      <c r="DV53" s="14"/>
      <c r="DW53" s="14"/>
      <c r="DX53" s="14"/>
      <c r="DY53" s="14"/>
      <c r="DZ53" s="14"/>
      <c r="EA53" s="14"/>
      <c r="EB53" s="14"/>
      <c r="EC53" s="14"/>
      <c r="ED53" s="14"/>
      <c r="EE53" s="14"/>
      <c r="EF53" s="14"/>
      <c r="EG53" s="14"/>
      <c r="EH53" s="14"/>
      <c r="EI53" s="14"/>
      <c r="EJ53" s="14"/>
      <c r="EK53" s="14"/>
      <c r="EL53" s="14"/>
      <c r="EM53" s="14"/>
      <c r="EN53" s="14"/>
    </row>
    <row r="54" spans="1:144" s="3" customFormat="1" ht="21" customHeight="1" x14ac:dyDescent="0.3">
      <c r="A54" s="140">
        <v>38</v>
      </c>
      <c r="B54" s="137" t="s">
        <v>310</v>
      </c>
      <c r="C54" s="166" t="s">
        <v>344</v>
      </c>
      <c r="D54" s="131">
        <v>16</v>
      </c>
      <c r="E54" s="131">
        <v>4</v>
      </c>
      <c r="F54" s="131">
        <v>11</v>
      </c>
      <c r="G54" s="131">
        <v>11</v>
      </c>
      <c r="H54" s="131">
        <v>16</v>
      </c>
      <c r="I54" s="131">
        <v>20</v>
      </c>
      <c r="J54" s="131">
        <v>18</v>
      </c>
      <c r="K54" s="131">
        <v>10</v>
      </c>
      <c r="L54" s="197">
        <v>39</v>
      </c>
      <c r="M54" s="199" t="s">
        <v>217</v>
      </c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  <c r="AJ54" s="14"/>
      <c r="AK54" s="14"/>
      <c r="AL54" s="14"/>
      <c r="AM54" s="14"/>
      <c r="AN54" s="14"/>
      <c r="AO54" s="14"/>
      <c r="AP54" s="14"/>
      <c r="AQ54" s="14"/>
      <c r="AR54" s="14"/>
      <c r="AS54" s="14"/>
      <c r="AT54" s="14"/>
      <c r="AU54" s="14"/>
      <c r="AV54" s="14"/>
      <c r="AW54" s="14"/>
      <c r="AX54" s="14"/>
      <c r="AY54" s="14"/>
      <c r="AZ54" s="14"/>
      <c r="BA54" s="14"/>
      <c r="BB54" s="14"/>
      <c r="BC54" s="14"/>
      <c r="BD54" s="14"/>
      <c r="BE54" s="14"/>
      <c r="BF54" s="14"/>
      <c r="BG54" s="14"/>
      <c r="BH54" s="14"/>
      <c r="BI54" s="14"/>
      <c r="BJ54" s="14"/>
      <c r="BK54" s="14"/>
      <c r="BL54" s="14"/>
      <c r="BM54" s="14"/>
      <c r="BN54" s="14"/>
      <c r="BO54" s="14"/>
      <c r="BP54" s="14"/>
      <c r="BQ54" s="14"/>
      <c r="BR54" s="14"/>
      <c r="BS54" s="14"/>
      <c r="BT54" s="14"/>
      <c r="BU54" s="14"/>
      <c r="BV54" s="14"/>
      <c r="BW54" s="14"/>
      <c r="BX54" s="14"/>
      <c r="BY54" s="14"/>
      <c r="BZ54" s="14"/>
      <c r="CA54" s="14"/>
      <c r="CB54" s="14"/>
      <c r="CC54" s="14"/>
      <c r="CD54" s="14"/>
      <c r="CE54" s="14"/>
      <c r="CF54" s="14"/>
      <c r="CG54" s="14"/>
      <c r="CH54" s="14"/>
      <c r="CI54" s="14"/>
      <c r="CJ54" s="14"/>
      <c r="CK54" s="14"/>
      <c r="CL54" s="14"/>
      <c r="CM54" s="14"/>
      <c r="CN54" s="14"/>
      <c r="CO54" s="14"/>
      <c r="CP54" s="14"/>
      <c r="CQ54" s="14"/>
      <c r="CR54" s="14"/>
      <c r="CS54" s="14"/>
      <c r="CT54" s="14"/>
      <c r="CU54" s="14"/>
      <c r="CV54" s="14"/>
      <c r="CW54" s="14"/>
      <c r="CX54" s="14"/>
      <c r="CY54" s="14"/>
      <c r="CZ54" s="14"/>
      <c r="DA54" s="14"/>
      <c r="DB54" s="14"/>
      <c r="DC54" s="14"/>
      <c r="DD54" s="14"/>
      <c r="DE54" s="14"/>
      <c r="DF54" s="14"/>
      <c r="DG54" s="14"/>
      <c r="DH54" s="14"/>
      <c r="DI54" s="14"/>
      <c r="DJ54" s="14"/>
      <c r="DK54" s="14"/>
      <c r="DL54" s="14"/>
      <c r="DM54" s="14"/>
      <c r="DN54" s="14"/>
      <c r="DO54" s="14"/>
      <c r="DP54" s="14"/>
      <c r="DQ54" s="14"/>
      <c r="DR54" s="14"/>
      <c r="DS54" s="14"/>
      <c r="DT54" s="14"/>
      <c r="DU54" s="14"/>
      <c r="DV54" s="14"/>
      <c r="DW54" s="14"/>
      <c r="DX54" s="14"/>
      <c r="DY54" s="14"/>
      <c r="DZ54" s="14"/>
      <c r="EA54" s="14"/>
      <c r="EB54" s="14"/>
      <c r="EC54" s="14"/>
      <c r="ED54" s="14"/>
      <c r="EE54" s="14"/>
      <c r="EF54" s="14"/>
      <c r="EG54" s="14"/>
      <c r="EH54" s="14"/>
      <c r="EI54" s="14"/>
      <c r="EJ54" s="14"/>
      <c r="EK54" s="14"/>
      <c r="EL54" s="14"/>
      <c r="EM54" s="14"/>
      <c r="EN54" s="14"/>
    </row>
    <row r="55" spans="1:144" s="3" customFormat="1" ht="18.75" customHeight="1" x14ac:dyDescent="0.3">
      <c r="A55" s="140">
        <v>39</v>
      </c>
      <c r="B55" s="137" t="s">
        <v>311</v>
      </c>
      <c r="C55" s="166" t="s">
        <v>345</v>
      </c>
      <c r="D55" s="131">
        <v>19</v>
      </c>
      <c r="E55" s="131">
        <v>23</v>
      </c>
      <c r="F55" s="131">
        <v>16</v>
      </c>
      <c r="G55" s="131">
        <v>20</v>
      </c>
      <c r="H55" s="131">
        <v>20</v>
      </c>
      <c r="I55" s="131">
        <v>20</v>
      </c>
      <c r="J55" s="131">
        <v>20</v>
      </c>
      <c r="K55" s="131">
        <v>10</v>
      </c>
      <c r="L55" s="197">
        <v>50</v>
      </c>
      <c r="M55" s="199" t="s">
        <v>217</v>
      </c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4"/>
      <c r="AJ55" s="14"/>
      <c r="AK55" s="14"/>
      <c r="AL55" s="14"/>
      <c r="AM55" s="14"/>
      <c r="AN55" s="14"/>
      <c r="AO55" s="14"/>
      <c r="AP55" s="14"/>
      <c r="AQ55" s="14"/>
      <c r="AR55" s="14"/>
      <c r="AS55" s="14"/>
      <c r="AT55" s="14"/>
      <c r="AU55" s="14"/>
      <c r="AV55" s="14"/>
      <c r="AW55" s="14"/>
      <c r="AX55" s="14"/>
      <c r="AY55" s="14"/>
      <c r="AZ55" s="14"/>
      <c r="BA55" s="14"/>
      <c r="BB55" s="14"/>
      <c r="BC55" s="14"/>
      <c r="BD55" s="14"/>
      <c r="BE55" s="14"/>
      <c r="BF55" s="14"/>
      <c r="BG55" s="14"/>
      <c r="BH55" s="14"/>
      <c r="BI55" s="14"/>
      <c r="BJ55" s="14"/>
      <c r="BK55" s="14"/>
      <c r="BL55" s="14"/>
      <c r="BM55" s="14"/>
      <c r="BN55" s="14"/>
      <c r="BO55" s="14"/>
      <c r="BP55" s="14"/>
      <c r="BQ55" s="14"/>
      <c r="BR55" s="14"/>
      <c r="BS55" s="14"/>
      <c r="BT55" s="14"/>
      <c r="BU55" s="14"/>
      <c r="BV55" s="14"/>
      <c r="BW55" s="14"/>
      <c r="BX55" s="14"/>
      <c r="BY55" s="14"/>
      <c r="BZ55" s="14"/>
      <c r="CA55" s="14"/>
      <c r="CB55" s="14"/>
      <c r="CC55" s="14"/>
      <c r="CD55" s="14"/>
      <c r="CE55" s="14"/>
      <c r="CF55" s="14"/>
      <c r="CG55" s="14"/>
      <c r="CH55" s="14"/>
      <c r="CI55" s="14"/>
      <c r="CJ55" s="14"/>
      <c r="CK55" s="14"/>
      <c r="CL55" s="14"/>
      <c r="CM55" s="14"/>
      <c r="CN55" s="14"/>
      <c r="CO55" s="14"/>
      <c r="CP55" s="14"/>
      <c r="CQ55" s="14"/>
      <c r="CR55" s="14"/>
      <c r="CS55" s="14"/>
      <c r="CT55" s="14"/>
      <c r="CU55" s="14"/>
      <c r="CV55" s="14"/>
      <c r="CW55" s="14"/>
      <c r="CX55" s="14"/>
      <c r="CY55" s="14"/>
      <c r="CZ55" s="14"/>
      <c r="DA55" s="14"/>
      <c r="DB55" s="14"/>
      <c r="DC55" s="14"/>
      <c r="DD55" s="14"/>
      <c r="DE55" s="14"/>
      <c r="DF55" s="14"/>
      <c r="DG55" s="14"/>
      <c r="DH55" s="14"/>
      <c r="DI55" s="14"/>
      <c r="DJ55" s="14"/>
      <c r="DK55" s="14"/>
      <c r="DL55" s="14"/>
      <c r="DM55" s="14"/>
      <c r="DN55" s="14"/>
      <c r="DO55" s="14"/>
      <c r="DP55" s="14"/>
      <c r="DQ55" s="14"/>
      <c r="DR55" s="14"/>
      <c r="DS55" s="14"/>
      <c r="DT55" s="14"/>
      <c r="DU55" s="14"/>
      <c r="DV55" s="14"/>
      <c r="DW55" s="14"/>
      <c r="DX55" s="14"/>
      <c r="DY55" s="14"/>
      <c r="DZ55" s="14"/>
      <c r="EA55" s="14"/>
      <c r="EB55" s="14"/>
      <c r="EC55" s="14"/>
      <c r="ED55" s="14"/>
      <c r="EE55" s="14"/>
      <c r="EF55" s="14"/>
      <c r="EG55" s="14"/>
      <c r="EH55" s="14"/>
      <c r="EI55" s="14"/>
      <c r="EJ55" s="14"/>
      <c r="EK55" s="14"/>
      <c r="EL55" s="14"/>
      <c r="EM55" s="14"/>
      <c r="EN55" s="14"/>
    </row>
    <row r="56" spans="1:144" s="3" customFormat="1" ht="24" customHeight="1" x14ac:dyDescent="0.3">
      <c r="A56" s="140">
        <v>40</v>
      </c>
      <c r="B56" s="137" t="s">
        <v>312</v>
      </c>
      <c r="C56" s="166" t="s">
        <v>346</v>
      </c>
      <c r="D56" s="131">
        <v>16</v>
      </c>
      <c r="E56" s="131">
        <v>4</v>
      </c>
      <c r="F56" s="131">
        <v>3</v>
      </c>
      <c r="G56" s="131">
        <v>8</v>
      </c>
      <c r="H56" s="131">
        <v>20</v>
      </c>
      <c r="I56" s="131">
        <v>16</v>
      </c>
      <c r="J56" s="131">
        <v>18</v>
      </c>
      <c r="K56" s="131">
        <v>10</v>
      </c>
      <c r="L56" s="197">
        <v>36</v>
      </c>
      <c r="M56" s="199" t="s">
        <v>217</v>
      </c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  <c r="AE56" s="14"/>
      <c r="AF56" s="14"/>
      <c r="AG56" s="14"/>
      <c r="AH56" s="14"/>
      <c r="AI56" s="14"/>
      <c r="AJ56" s="14"/>
      <c r="AK56" s="14"/>
      <c r="AL56" s="14"/>
      <c r="AM56" s="14"/>
      <c r="AN56" s="14"/>
      <c r="AO56" s="14"/>
      <c r="AP56" s="14"/>
      <c r="AQ56" s="14"/>
      <c r="AR56" s="14"/>
      <c r="AS56" s="14"/>
      <c r="AT56" s="14"/>
      <c r="AU56" s="14"/>
      <c r="AV56" s="14"/>
      <c r="AW56" s="14"/>
      <c r="AX56" s="14"/>
      <c r="AY56" s="14"/>
      <c r="AZ56" s="14"/>
      <c r="BA56" s="14"/>
      <c r="BB56" s="14"/>
      <c r="BC56" s="14"/>
      <c r="BD56" s="14"/>
      <c r="BE56" s="14"/>
      <c r="BF56" s="14"/>
      <c r="BG56" s="14"/>
      <c r="BH56" s="14"/>
      <c r="BI56" s="14"/>
      <c r="BJ56" s="14"/>
      <c r="BK56" s="14"/>
      <c r="BL56" s="14"/>
      <c r="BM56" s="14"/>
      <c r="BN56" s="14"/>
      <c r="BO56" s="14"/>
      <c r="BP56" s="14"/>
      <c r="BQ56" s="14"/>
      <c r="BR56" s="14"/>
      <c r="BS56" s="14"/>
      <c r="BT56" s="14"/>
      <c r="BU56" s="14"/>
      <c r="BV56" s="14"/>
      <c r="BW56" s="14"/>
      <c r="BX56" s="14"/>
      <c r="BY56" s="14"/>
      <c r="BZ56" s="14"/>
      <c r="CA56" s="14"/>
      <c r="CB56" s="14"/>
      <c r="CC56" s="14"/>
      <c r="CD56" s="14"/>
      <c r="CE56" s="14"/>
      <c r="CF56" s="14"/>
      <c r="CG56" s="14"/>
      <c r="CH56" s="14"/>
      <c r="CI56" s="14"/>
      <c r="CJ56" s="14"/>
      <c r="CK56" s="14"/>
      <c r="CL56" s="14"/>
      <c r="CM56" s="14"/>
      <c r="CN56" s="14"/>
      <c r="CO56" s="14"/>
      <c r="CP56" s="14"/>
      <c r="CQ56" s="14"/>
      <c r="CR56" s="14"/>
      <c r="CS56" s="14"/>
      <c r="CT56" s="14"/>
      <c r="CU56" s="14"/>
      <c r="CV56" s="14"/>
      <c r="CW56" s="14"/>
      <c r="CX56" s="14"/>
      <c r="CY56" s="14"/>
      <c r="CZ56" s="14"/>
      <c r="DA56" s="14"/>
      <c r="DB56" s="14"/>
      <c r="DC56" s="14"/>
      <c r="DD56" s="14"/>
      <c r="DE56" s="14"/>
      <c r="DF56" s="14"/>
      <c r="DG56" s="14"/>
      <c r="DH56" s="14"/>
      <c r="DI56" s="14"/>
      <c r="DJ56" s="14"/>
      <c r="DK56" s="14"/>
      <c r="DL56" s="14"/>
      <c r="DM56" s="14"/>
      <c r="DN56" s="14"/>
      <c r="DO56" s="14"/>
      <c r="DP56" s="14"/>
      <c r="DQ56" s="14"/>
      <c r="DR56" s="14"/>
      <c r="DS56" s="14"/>
      <c r="DT56" s="14"/>
      <c r="DU56" s="14"/>
      <c r="DV56" s="14"/>
      <c r="DW56" s="14"/>
      <c r="DX56" s="14"/>
      <c r="DY56" s="14"/>
      <c r="DZ56" s="14"/>
      <c r="EA56" s="14"/>
      <c r="EB56" s="14"/>
      <c r="EC56" s="14"/>
      <c r="ED56" s="14"/>
      <c r="EE56" s="14"/>
      <c r="EF56" s="14"/>
      <c r="EG56" s="14"/>
      <c r="EH56" s="14"/>
      <c r="EI56" s="14"/>
      <c r="EJ56" s="14"/>
      <c r="EK56" s="14"/>
      <c r="EL56" s="14"/>
      <c r="EM56" s="14"/>
      <c r="EN56" s="14"/>
    </row>
    <row r="57" spans="1:144" s="3" customFormat="1" ht="24" customHeight="1" x14ac:dyDescent="0.3">
      <c r="A57" s="140">
        <v>41</v>
      </c>
      <c r="B57" s="137" t="s">
        <v>313</v>
      </c>
      <c r="C57" s="166" t="s">
        <v>347</v>
      </c>
      <c r="D57" s="131">
        <v>16</v>
      </c>
      <c r="E57" s="131">
        <v>5</v>
      </c>
      <c r="F57" s="131">
        <v>9</v>
      </c>
      <c r="G57" s="131">
        <v>10</v>
      </c>
      <c r="H57" s="131">
        <v>14</v>
      </c>
      <c r="I57" s="131">
        <v>16</v>
      </c>
      <c r="J57" s="131">
        <v>15</v>
      </c>
      <c r="K57" s="131">
        <v>10</v>
      </c>
      <c r="L57" s="197">
        <v>35</v>
      </c>
      <c r="M57" s="199" t="s">
        <v>217</v>
      </c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  <c r="AE57" s="14"/>
      <c r="AF57" s="14"/>
      <c r="AG57" s="14"/>
      <c r="AH57" s="14"/>
      <c r="AI57" s="14"/>
      <c r="AJ57" s="14"/>
      <c r="AK57" s="14"/>
      <c r="AL57" s="14"/>
      <c r="AM57" s="14"/>
      <c r="AN57" s="14"/>
      <c r="AO57" s="14"/>
      <c r="AP57" s="14"/>
      <c r="AQ57" s="14"/>
      <c r="AR57" s="14"/>
      <c r="AS57" s="14"/>
      <c r="AT57" s="14"/>
      <c r="AU57" s="14"/>
      <c r="AV57" s="14"/>
      <c r="AW57" s="14"/>
      <c r="AX57" s="14"/>
      <c r="AY57" s="14"/>
      <c r="AZ57" s="14"/>
      <c r="BA57" s="14"/>
      <c r="BB57" s="14"/>
      <c r="BC57" s="14"/>
      <c r="BD57" s="14"/>
      <c r="BE57" s="14"/>
      <c r="BF57" s="14"/>
      <c r="BG57" s="14"/>
      <c r="BH57" s="14"/>
      <c r="BI57" s="14"/>
      <c r="BJ57" s="14"/>
      <c r="BK57" s="14"/>
      <c r="BL57" s="14"/>
      <c r="BM57" s="14"/>
      <c r="BN57" s="14"/>
      <c r="BO57" s="14"/>
      <c r="BP57" s="14"/>
      <c r="BQ57" s="14"/>
      <c r="BR57" s="14"/>
      <c r="BS57" s="14"/>
      <c r="BT57" s="14"/>
      <c r="BU57" s="14"/>
      <c r="BV57" s="14"/>
      <c r="BW57" s="14"/>
      <c r="BX57" s="14"/>
      <c r="BY57" s="14"/>
      <c r="BZ57" s="14"/>
      <c r="CA57" s="14"/>
      <c r="CB57" s="14"/>
      <c r="CC57" s="14"/>
      <c r="CD57" s="14"/>
      <c r="CE57" s="14"/>
      <c r="CF57" s="14"/>
      <c r="CG57" s="14"/>
      <c r="CH57" s="14"/>
      <c r="CI57" s="14"/>
      <c r="CJ57" s="14"/>
      <c r="CK57" s="14"/>
      <c r="CL57" s="14"/>
      <c r="CM57" s="14"/>
      <c r="CN57" s="14"/>
      <c r="CO57" s="14"/>
      <c r="CP57" s="14"/>
      <c r="CQ57" s="14"/>
      <c r="CR57" s="14"/>
      <c r="CS57" s="14"/>
      <c r="CT57" s="14"/>
      <c r="CU57" s="14"/>
      <c r="CV57" s="14"/>
      <c r="CW57" s="14"/>
      <c r="CX57" s="14"/>
      <c r="CY57" s="14"/>
      <c r="CZ57" s="14"/>
      <c r="DA57" s="14"/>
      <c r="DB57" s="14"/>
      <c r="DC57" s="14"/>
      <c r="DD57" s="14"/>
      <c r="DE57" s="14"/>
      <c r="DF57" s="14"/>
      <c r="DG57" s="14"/>
      <c r="DH57" s="14"/>
      <c r="DI57" s="14"/>
      <c r="DJ57" s="14"/>
      <c r="DK57" s="14"/>
      <c r="DL57" s="14"/>
      <c r="DM57" s="14"/>
      <c r="DN57" s="14"/>
      <c r="DO57" s="14"/>
      <c r="DP57" s="14"/>
      <c r="DQ57" s="14"/>
      <c r="DR57" s="14"/>
      <c r="DS57" s="14"/>
      <c r="DT57" s="14"/>
      <c r="DU57" s="14"/>
      <c r="DV57" s="14"/>
      <c r="DW57" s="14"/>
      <c r="DX57" s="14"/>
      <c r="DY57" s="14"/>
      <c r="DZ57" s="14"/>
      <c r="EA57" s="14"/>
      <c r="EB57" s="14"/>
      <c r="EC57" s="14"/>
      <c r="ED57" s="14"/>
      <c r="EE57" s="14"/>
      <c r="EF57" s="14"/>
      <c r="EG57" s="14"/>
      <c r="EH57" s="14"/>
      <c r="EI57" s="14"/>
      <c r="EJ57" s="14"/>
      <c r="EK57" s="14"/>
      <c r="EL57" s="14"/>
      <c r="EM57" s="14"/>
      <c r="EN57" s="14"/>
    </row>
    <row r="58" spans="1:144" s="3" customFormat="1" ht="19.5" customHeight="1" x14ac:dyDescent="0.3">
      <c r="A58" s="140">
        <v>42</v>
      </c>
      <c r="B58" s="137" t="s">
        <v>314</v>
      </c>
      <c r="C58" s="166" t="s">
        <v>348</v>
      </c>
      <c r="D58" s="131">
        <v>29</v>
      </c>
      <c r="E58" s="131">
        <v>28</v>
      </c>
      <c r="F58" s="131">
        <v>22</v>
      </c>
      <c r="G58" s="131">
        <v>27</v>
      </c>
      <c r="H58" s="131">
        <v>20</v>
      </c>
      <c r="I58" s="131">
        <v>20</v>
      </c>
      <c r="J58" s="131">
        <v>20</v>
      </c>
      <c r="K58" s="131">
        <v>10</v>
      </c>
      <c r="L58" s="197">
        <v>57</v>
      </c>
      <c r="M58" s="199" t="s">
        <v>217</v>
      </c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  <c r="AE58" s="14"/>
      <c r="AF58" s="14"/>
      <c r="AG58" s="14"/>
      <c r="AH58" s="14"/>
      <c r="AI58" s="14"/>
      <c r="AJ58" s="14"/>
      <c r="AK58" s="14"/>
      <c r="AL58" s="14"/>
      <c r="AM58" s="14"/>
      <c r="AN58" s="14"/>
      <c r="AO58" s="14"/>
      <c r="AP58" s="14"/>
      <c r="AQ58" s="14"/>
      <c r="AR58" s="14"/>
      <c r="AS58" s="14"/>
      <c r="AT58" s="14"/>
      <c r="AU58" s="14"/>
      <c r="AV58" s="14"/>
      <c r="AW58" s="14"/>
      <c r="AX58" s="14"/>
      <c r="AY58" s="14"/>
      <c r="AZ58" s="14"/>
      <c r="BA58" s="14"/>
      <c r="BB58" s="14"/>
      <c r="BC58" s="14"/>
      <c r="BD58" s="14"/>
      <c r="BE58" s="14"/>
      <c r="BF58" s="14"/>
      <c r="BG58" s="14"/>
      <c r="BH58" s="14"/>
      <c r="BI58" s="14"/>
      <c r="BJ58" s="14"/>
      <c r="BK58" s="14"/>
      <c r="BL58" s="14"/>
      <c r="BM58" s="14"/>
      <c r="BN58" s="14"/>
      <c r="BO58" s="14"/>
      <c r="BP58" s="14"/>
      <c r="BQ58" s="14"/>
      <c r="BR58" s="14"/>
      <c r="BS58" s="14"/>
      <c r="BT58" s="14"/>
      <c r="BU58" s="14"/>
      <c r="BV58" s="14"/>
      <c r="BW58" s="14"/>
      <c r="BX58" s="14"/>
      <c r="BY58" s="14"/>
      <c r="BZ58" s="14"/>
      <c r="CA58" s="14"/>
      <c r="CB58" s="14"/>
      <c r="CC58" s="14"/>
      <c r="CD58" s="14"/>
      <c r="CE58" s="14"/>
      <c r="CF58" s="14"/>
      <c r="CG58" s="14"/>
      <c r="CH58" s="14"/>
      <c r="CI58" s="14"/>
      <c r="CJ58" s="14"/>
      <c r="CK58" s="14"/>
      <c r="CL58" s="14"/>
      <c r="CM58" s="14"/>
      <c r="CN58" s="14"/>
      <c r="CO58" s="14"/>
      <c r="CP58" s="14"/>
      <c r="CQ58" s="14"/>
      <c r="CR58" s="14"/>
      <c r="CS58" s="14"/>
      <c r="CT58" s="14"/>
      <c r="CU58" s="14"/>
      <c r="CV58" s="14"/>
      <c r="CW58" s="14"/>
      <c r="CX58" s="14"/>
      <c r="CY58" s="14"/>
      <c r="CZ58" s="14"/>
      <c r="DA58" s="14"/>
      <c r="DB58" s="14"/>
      <c r="DC58" s="14"/>
      <c r="DD58" s="14"/>
      <c r="DE58" s="14"/>
      <c r="DF58" s="14"/>
      <c r="DG58" s="14"/>
      <c r="DH58" s="14"/>
      <c r="DI58" s="14"/>
      <c r="DJ58" s="14"/>
      <c r="DK58" s="14"/>
      <c r="DL58" s="14"/>
      <c r="DM58" s="14"/>
      <c r="DN58" s="14"/>
      <c r="DO58" s="14"/>
      <c r="DP58" s="14"/>
      <c r="DQ58" s="14"/>
      <c r="DR58" s="14"/>
      <c r="DS58" s="14"/>
      <c r="DT58" s="14"/>
      <c r="DU58" s="14"/>
      <c r="DV58" s="14"/>
      <c r="DW58" s="14"/>
      <c r="DX58" s="14"/>
      <c r="DY58" s="14"/>
      <c r="DZ58" s="14"/>
      <c r="EA58" s="14"/>
      <c r="EB58" s="14"/>
      <c r="EC58" s="14"/>
      <c r="ED58" s="14"/>
      <c r="EE58" s="14"/>
      <c r="EF58" s="14"/>
      <c r="EG58" s="14"/>
      <c r="EH58" s="14"/>
      <c r="EI58" s="14"/>
      <c r="EJ58" s="14"/>
      <c r="EK58" s="14"/>
      <c r="EL58" s="14"/>
      <c r="EM58" s="14"/>
      <c r="EN58" s="14"/>
    </row>
    <row r="59" spans="1:144" s="3" customFormat="1" ht="18.75" customHeight="1" x14ac:dyDescent="0.3">
      <c r="A59" s="140">
        <v>43</v>
      </c>
      <c r="B59" s="137" t="s">
        <v>315</v>
      </c>
      <c r="C59" s="166" t="s">
        <v>349</v>
      </c>
      <c r="D59" s="131">
        <v>22</v>
      </c>
      <c r="E59" s="131">
        <v>17</v>
      </c>
      <c r="F59" s="131">
        <v>24</v>
      </c>
      <c r="G59" s="131">
        <v>21</v>
      </c>
      <c r="H59" s="131">
        <v>20</v>
      </c>
      <c r="I59" s="131">
        <v>20</v>
      </c>
      <c r="J59" s="131">
        <v>20</v>
      </c>
      <c r="K59" s="131">
        <v>10</v>
      </c>
      <c r="L59" s="197">
        <v>51</v>
      </c>
      <c r="M59" s="199" t="s">
        <v>217</v>
      </c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/>
      <c r="AE59" s="14"/>
      <c r="AF59" s="14"/>
      <c r="AG59" s="14"/>
      <c r="AH59" s="14"/>
      <c r="AI59" s="14"/>
      <c r="AJ59" s="14"/>
      <c r="AK59" s="14"/>
      <c r="AL59" s="14"/>
      <c r="AM59" s="14"/>
      <c r="AN59" s="14"/>
      <c r="AO59" s="14"/>
      <c r="AP59" s="14"/>
      <c r="AQ59" s="14"/>
      <c r="AR59" s="14"/>
      <c r="AS59" s="14"/>
      <c r="AT59" s="14"/>
      <c r="AU59" s="14"/>
      <c r="AV59" s="14"/>
      <c r="AW59" s="14"/>
      <c r="AX59" s="14"/>
      <c r="AY59" s="14"/>
      <c r="AZ59" s="14"/>
      <c r="BA59" s="14"/>
      <c r="BB59" s="14"/>
      <c r="BC59" s="14"/>
      <c r="BD59" s="14"/>
      <c r="BE59" s="14"/>
      <c r="BF59" s="14"/>
      <c r="BG59" s="14"/>
      <c r="BH59" s="14"/>
      <c r="BI59" s="14"/>
      <c r="BJ59" s="14"/>
      <c r="BK59" s="14"/>
      <c r="BL59" s="14"/>
      <c r="BM59" s="14"/>
      <c r="BN59" s="14"/>
      <c r="BO59" s="14"/>
      <c r="BP59" s="14"/>
      <c r="BQ59" s="14"/>
      <c r="BR59" s="14"/>
      <c r="BS59" s="14"/>
      <c r="BT59" s="14"/>
      <c r="BU59" s="14"/>
      <c r="BV59" s="14"/>
      <c r="BW59" s="14"/>
      <c r="BX59" s="14"/>
      <c r="BY59" s="14"/>
      <c r="BZ59" s="14"/>
      <c r="CA59" s="14"/>
      <c r="CB59" s="14"/>
      <c r="CC59" s="14"/>
      <c r="CD59" s="14"/>
      <c r="CE59" s="14"/>
      <c r="CF59" s="14"/>
      <c r="CG59" s="14"/>
      <c r="CH59" s="14"/>
      <c r="CI59" s="14"/>
      <c r="CJ59" s="14"/>
      <c r="CK59" s="14"/>
      <c r="CL59" s="14"/>
      <c r="CM59" s="14"/>
      <c r="CN59" s="14"/>
      <c r="CO59" s="14"/>
      <c r="CP59" s="14"/>
      <c r="CQ59" s="14"/>
      <c r="CR59" s="14"/>
      <c r="CS59" s="14"/>
      <c r="CT59" s="14"/>
      <c r="CU59" s="14"/>
      <c r="CV59" s="14"/>
      <c r="CW59" s="14"/>
      <c r="CX59" s="14"/>
      <c r="CY59" s="14"/>
      <c r="CZ59" s="14"/>
      <c r="DA59" s="14"/>
      <c r="DB59" s="14"/>
      <c r="DC59" s="14"/>
      <c r="DD59" s="14"/>
      <c r="DE59" s="14"/>
      <c r="DF59" s="14"/>
      <c r="DG59" s="14"/>
      <c r="DH59" s="14"/>
      <c r="DI59" s="14"/>
      <c r="DJ59" s="14"/>
      <c r="DK59" s="14"/>
      <c r="DL59" s="14"/>
      <c r="DM59" s="14"/>
      <c r="DN59" s="14"/>
      <c r="DO59" s="14"/>
      <c r="DP59" s="14"/>
      <c r="DQ59" s="14"/>
      <c r="DR59" s="14"/>
      <c r="DS59" s="14"/>
      <c r="DT59" s="14"/>
      <c r="DU59" s="14"/>
      <c r="DV59" s="14"/>
      <c r="DW59" s="14"/>
      <c r="DX59" s="14"/>
      <c r="DY59" s="14"/>
      <c r="DZ59" s="14"/>
      <c r="EA59" s="14"/>
      <c r="EB59" s="14"/>
      <c r="EC59" s="14"/>
      <c r="ED59" s="14"/>
      <c r="EE59" s="14"/>
      <c r="EF59" s="14"/>
      <c r="EG59" s="14"/>
      <c r="EH59" s="14"/>
      <c r="EI59" s="14"/>
      <c r="EJ59" s="14"/>
      <c r="EK59" s="14"/>
      <c r="EL59" s="14"/>
      <c r="EM59" s="14"/>
      <c r="EN59" s="14"/>
    </row>
    <row r="60" spans="1:144" s="3" customFormat="1" ht="18.75" customHeight="1" x14ac:dyDescent="0.3">
      <c r="A60" s="140">
        <v>44</v>
      </c>
      <c r="B60" s="137" t="s">
        <v>316</v>
      </c>
      <c r="C60" s="166" t="s">
        <v>350</v>
      </c>
      <c r="D60" s="131">
        <v>5</v>
      </c>
      <c r="E60" s="131">
        <v>14</v>
      </c>
      <c r="F60" s="131">
        <v>3</v>
      </c>
      <c r="G60" s="131">
        <v>8</v>
      </c>
      <c r="H60" s="131">
        <v>12</v>
      </c>
      <c r="I60" s="131">
        <v>18</v>
      </c>
      <c r="J60" s="131">
        <v>15</v>
      </c>
      <c r="K60" s="131">
        <v>10</v>
      </c>
      <c r="L60" s="197">
        <v>33</v>
      </c>
      <c r="M60" s="199" t="s">
        <v>217</v>
      </c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  <c r="AE60" s="14"/>
      <c r="AF60" s="14"/>
      <c r="AG60" s="14"/>
      <c r="AH60" s="14"/>
      <c r="AI60" s="14"/>
      <c r="AJ60" s="14"/>
      <c r="AK60" s="14"/>
      <c r="AL60" s="14"/>
      <c r="AM60" s="14"/>
      <c r="AN60" s="14"/>
      <c r="AO60" s="14"/>
      <c r="AP60" s="14"/>
      <c r="AQ60" s="14"/>
      <c r="AR60" s="14"/>
      <c r="AS60" s="14"/>
      <c r="AT60" s="14"/>
      <c r="AU60" s="14"/>
      <c r="AV60" s="14"/>
      <c r="AW60" s="14"/>
      <c r="AX60" s="14"/>
      <c r="AY60" s="14"/>
      <c r="AZ60" s="14"/>
      <c r="BA60" s="14"/>
      <c r="BB60" s="14"/>
      <c r="BC60" s="14"/>
      <c r="BD60" s="14"/>
      <c r="BE60" s="14"/>
      <c r="BF60" s="14"/>
      <c r="BG60" s="14"/>
      <c r="BH60" s="14"/>
      <c r="BI60" s="14"/>
      <c r="BJ60" s="14"/>
      <c r="BK60" s="14"/>
      <c r="BL60" s="14"/>
      <c r="BM60" s="14"/>
      <c r="BN60" s="14"/>
      <c r="BO60" s="14"/>
      <c r="BP60" s="14"/>
      <c r="BQ60" s="14"/>
      <c r="BR60" s="14"/>
      <c r="BS60" s="14"/>
      <c r="BT60" s="14"/>
      <c r="BU60" s="14"/>
      <c r="BV60" s="14"/>
      <c r="BW60" s="14"/>
      <c r="BX60" s="14"/>
      <c r="BY60" s="14"/>
      <c r="BZ60" s="14"/>
      <c r="CA60" s="14"/>
      <c r="CB60" s="14"/>
      <c r="CC60" s="14"/>
      <c r="CD60" s="14"/>
      <c r="CE60" s="14"/>
      <c r="CF60" s="14"/>
      <c r="CG60" s="14"/>
      <c r="CH60" s="14"/>
      <c r="CI60" s="14"/>
      <c r="CJ60" s="14"/>
      <c r="CK60" s="14"/>
      <c r="CL60" s="14"/>
      <c r="CM60" s="14"/>
      <c r="CN60" s="14"/>
      <c r="CO60" s="14"/>
      <c r="CP60" s="14"/>
      <c r="CQ60" s="14"/>
      <c r="CR60" s="14"/>
      <c r="CS60" s="14"/>
      <c r="CT60" s="14"/>
      <c r="CU60" s="14"/>
      <c r="CV60" s="14"/>
      <c r="CW60" s="14"/>
      <c r="CX60" s="14"/>
      <c r="CY60" s="14"/>
      <c r="CZ60" s="14"/>
      <c r="DA60" s="14"/>
      <c r="DB60" s="14"/>
      <c r="DC60" s="14"/>
      <c r="DD60" s="14"/>
      <c r="DE60" s="14"/>
      <c r="DF60" s="14"/>
      <c r="DG60" s="14"/>
      <c r="DH60" s="14"/>
      <c r="DI60" s="14"/>
      <c r="DJ60" s="14"/>
      <c r="DK60" s="14"/>
      <c r="DL60" s="14"/>
      <c r="DM60" s="14"/>
      <c r="DN60" s="14"/>
      <c r="DO60" s="14"/>
      <c r="DP60" s="14"/>
      <c r="DQ60" s="14"/>
      <c r="DR60" s="14"/>
      <c r="DS60" s="14"/>
      <c r="DT60" s="14"/>
      <c r="DU60" s="14"/>
      <c r="DV60" s="14"/>
      <c r="DW60" s="14"/>
      <c r="DX60" s="14"/>
      <c r="DY60" s="14"/>
      <c r="DZ60" s="14"/>
      <c r="EA60" s="14"/>
      <c r="EB60" s="14"/>
      <c r="EC60" s="14"/>
      <c r="ED60" s="14"/>
      <c r="EE60" s="14"/>
      <c r="EF60" s="14"/>
      <c r="EG60" s="14"/>
      <c r="EH60" s="14"/>
      <c r="EI60" s="14"/>
      <c r="EJ60" s="14"/>
      <c r="EK60" s="14"/>
      <c r="EL60" s="14"/>
      <c r="EM60" s="14"/>
      <c r="EN60" s="14"/>
    </row>
    <row r="61" spans="1:144" s="3" customFormat="1" ht="18" customHeight="1" x14ac:dyDescent="0.3">
      <c r="A61" s="140">
        <v>45</v>
      </c>
      <c r="B61" s="137" t="s">
        <v>317</v>
      </c>
      <c r="C61" s="166" t="s">
        <v>351</v>
      </c>
      <c r="D61" s="200">
        <v>14</v>
      </c>
      <c r="E61" s="200">
        <v>17</v>
      </c>
      <c r="F61" s="131">
        <v>16</v>
      </c>
      <c r="G61" s="131">
        <v>16</v>
      </c>
      <c r="H61" s="131">
        <v>14</v>
      </c>
      <c r="I61" s="131">
        <v>18</v>
      </c>
      <c r="J61" s="131">
        <v>16</v>
      </c>
      <c r="K61" s="131">
        <v>10</v>
      </c>
      <c r="L61" s="197">
        <v>42</v>
      </c>
      <c r="M61" s="199" t="s">
        <v>217</v>
      </c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4"/>
      <c r="AJ61" s="14"/>
      <c r="AK61" s="14"/>
      <c r="AL61" s="14"/>
      <c r="AM61" s="14"/>
      <c r="AN61" s="14"/>
      <c r="AO61" s="14"/>
      <c r="AP61" s="14"/>
      <c r="AQ61" s="14"/>
      <c r="AR61" s="14"/>
      <c r="AS61" s="14"/>
      <c r="AT61" s="14"/>
      <c r="AU61" s="14"/>
      <c r="AV61" s="14"/>
      <c r="AW61" s="14"/>
      <c r="AX61" s="14"/>
      <c r="AY61" s="14"/>
      <c r="AZ61" s="14"/>
      <c r="BA61" s="14"/>
      <c r="BB61" s="14"/>
      <c r="BC61" s="14"/>
      <c r="BD61" s="14"/>
      <c r="BE61" s="14"/>
      <c r="BF61" s="14"/>
      <c r="BG61" s="14"/>
      <c r="BH61" s="14"/>
      <c r="BI61" s="14"/>
      <c r="BJ61" s="14"/>
      <c r="BK61" s="14"/>
      <c r="BL61" s="14"/>
      <c r="BM61" s="14"/>
      <c r="BN61" s="14"/>
      <c r="BO61" s="14"/>
      <c r="BP61" s="14"/>
      <c r="BQ61" s="14"/>
      <c r="BR61" s="14"/>
      <c r="BS61" s="14"/>
      <c r="BT61" s="14"/>
      <c r="BU61" s="14"/>
      <c r="BV61" s="14"/>
      <c r="BW61" s="14"/>
      <c r="BX61" s="14"/>
      <c r="BY61" s="14"/>
      <c r="BZ61" s="14"/>
      <c r="CA61" s="14"/>
      <c r="CB61" s="14"/>
      <c r="CC61" s="14"/>
      <c r="CD61" s="14"/>
      <c r="CE61" s="14"/>
      <c r="CF61" s="14"/>
      <c r="CG61" s="14"/>
      <c r="CH61" s="14"/>
      <c r="CI61" s="14"/>
      <c r="CJ61" s="14"/>
      <c r="CK61" s="14"/>
      <c r="CL61" s="14"/>
      <c r="CM61" s="14"/>
      <c r="CN61" s="14"/>
      <c r="CO61" s="14"/>
      <c r="CP61" s="14"/>
      <c r="CQ61" s="14"/>
      <c r="CR61" s="14"/>
      <c r="CS61" s="14"/>
      <c r="CT61" s="14"/>
      <c r="CU61" s="14"/>
      <c r="CV61" s="14"/>
      <c r="CW61" s="14"/>
      <c r="CX61" s="14"/>
      <c r="CY61" s="14"/>
      <c r="CZ61" s="14"/>
      <c r="DA61" s="14"/>
      <c r="DB61" s="14"/>
      <c r="DC61" s="14"/>
      <c r="DD61" s="14"/>
      <c r="DE61" s="14"/>
      <c r="DF61" s="14"/>
      <c r="DG61" s="14"/>
      <c r="DH61" s="14"/>
      <c r="DI61" s="14"/>
      <c r="DJ61" s="14"/>
      <c r="DK61" s="14"/>
      <c r="DL61" s="14"/>
      <c r="DM61" s="14"/>
      <c r="DN61" s="14"/>
      <c r="DO61" s="14"/>
      <c r="DP61" s="14"/>
      <c r="DQ61" s="14"/>
      <c r="DR61" s="14"/>
      <c r="DS61" s="14"/>
      <c r="DT61" s="14"/>
      <c r="DU61" s="14"/>
      <c r="DV61" s="14"/>
      <c r="DW61" s="14"/>
      <c r="DX61" s="14"/>
      <c r="DY61" s="14"/>
      <c r="DZ61" s="14"/>
      <c r="EA61" s="14"/>
      <c r="EB61" s="14"/>
      <c r="EC61" s="14"/>
      <c r="ED61" s="14"/>
      <c r="EE61" s="14"/>
      <c r="EF61" s="14"/>
      <c r="EG61" s="14"/>
      <c r="EH61" s="14"/>
      <c r="EI61" s="14"/>
      <c r="EJ61" s="14"/>
      <c r="EK61" s="14"/>
      <c r="EL61" s="14"/>
      <c r="EM61" s="14"/>
      <c r="EN61" s="14"/>
    </row>
    <row r="62" spans="1:144" s="3" customFormat="1" ht="18" customHeight="1" x14ac:dyDescent="0.3">
      <c r="A62" s="140">
        <v>46</v>
      </c>
      <c r="B62" s="137" t="s">
        <v>318</v>
      </c>
      <c r="C62" s="166" t="s">
        <v>352</v>
      </c>
      <c r="D62" s="200">
        <v>18</v>
      </c>
      <c r="E62" s="200">
        <v>5</v>
      </c>
      <c r="F62" s="131">
        <v>11</v>
      </c>
      <c r="G62" s="131">
        <v>12</v>
      </c>
      <c r="H62" s="131">
        <v>16</v>
      </c>
      <c r="I62" s="131">
        <v>18</v>
      </c>
      <c r="J62" s="131">
        <v>17</v>
      </c>
      <c r="K62" s="131">
        <v>10</v>
      </c>
      <c r="L62" s="197">
        <v>39</v>
      </c>
      <c r="M62" s="199" t="s">
        <v>217</v>
      </c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4"/>
      <c r="AK62" s="14"/>
      <c r="AL62" s="14"/>
      <c r="AM62" s="14"/>
      <c r="AN62" s="14"/>
      <c r="AO62" s="14"/>
      <c r="AP62" s="14"/>
      <c r="AQ62" s="14"/>
      <c r="AR62" s="14"/>
      <c r="AS62" s="14"/>
      <c r="AT62" s="14"/>
      <c r="AU62" s="14"/>
      <c r="AV62" s="14"/>
      <c r="AW62" s="14"/>
      <c r="AX62" s="14"/>
      <c r="AY62" s="14"/>
      <c r="AZ62" s="14"/>
      <c r="BA62" s="14"/>
      <c r="BB62" s="14"/>
      <c r="BC62" s="14"/>
      <c r="BD62" s="14"/>
      <c r="BE62" s="14"/>
      <c r="BF62" s="14"/>
      <c r="BG62" s="14"/>
      <c r="BH62" s="14"/>
      <c r="BI62" s="14"/>
      <c r="BJ62" s="14"/>
      <c r="BK62" s="14"/>
      <c r="BL62" s="14"/>
      <c r="BM62" s="14"/>
      <c r="BN62" s="14"/>
      <c r="BO62" s="14"/>
      <c r="BP62" s="14"/>
      <c r="BQ62" s="14"/>
      <c r="BR62" s="14"/>
      <c r="BS62" s="14"/>
      <c r="BT62" s="14"/>
      <c r="BU62" s="14"/>
      <c r="BV62" s="14"/>
      <c r="BW62" s="14"/>
      <c r="BX62" s="14"/>
      <c r="BY62" s="14"/>
      <c r="BZ62" s="14"/>
      <c r="CA62" s="14"/>
      <c r="CB62" s="14"/>
      <c r="CC62" s="14"/>
      <c r="CD62" s="14"/>
      <c r="CE62" s="14"/>
      <c r="CF62" s="14"/>
      <c r="CG62" s="14"/>
      <c r="CH62" s="14"/>
      <c r="CI62" s="14"/>
      <c r="CJ62" s="14"/>
      <c r="CK62" s="14"/>
      <c r="CL62" s="14"/>
      <c r="CM62" s="14"/>
      <c r="CN62" s="14"/>
      <c r="CO62" s="14"/>
      <c r="CP62" s="14"/>
      <c r="CQ62" s="14"/>
      <c r="CR62" s="14"/>
      <c r="CS62" s="14"/>
      <c r="CT62" s="14"/>
      <c r="CU62" s="14"/>
      <c r="CV62" s="14"/>
      <c r="CW62" s="14"/>
      <c r="CX62" s="14"/>
      <c r="CY62" s="14"/>
      <c r="CZ62" s="14"/>
      <c r="DA62" s="14"/>
      <c r="DB62" s="14"/>
      <c r="DC62" s="14"/>
      <c r="DD62" s="14"/>
      <c r="DE62" s="14"/>
      <c r="DF62" s="14"/>
      <c r="DG62" s="14"/>
      <c r="DH62" s="14"/>
      <c r="DI62" s="14"/>
      <c r="DJ62" s="14"/>
      <c r="DK62" s="14"/>
      <c r="DL62" s="14"/>
      <c r="DM62" s="14"/>
      <c r="DN62" s="14"/>
      <c r="DO62" s="14"/>
      <c r="DP62" s="14"/>
      <c r="DQ62" s="14"/>
      <c r="DR62" s="14"/>
      <c r="DS62" s="14"/>
      <c r="DT62" s="14"/>
      <c r="DU62" s="14"/>
      <c r="DV62" s="14"/>
      <c r="DW62" s="14"/>
      <c r="DX62" s="14"/>
      <c r="DY62" s="14"/>
      <c r="DZ62" s="14"/>
      <c r="EA62" s="14"/>
      <c r="EB62" s="14"/>
      <c r="EC62" s="14"/>
      <c r="ED62" s="14"/>
      <c r="EE62" s="14"/>
      <c r="EF62" s="14"/>
      <c r="EG62" s="14"/>
      <c r="EH62" s="14"/>
      <c r="EI62" s="14"/>
      <c r="EJ62" s="14"/>
      <c r="EK62" s="14"/>
      <c r="EL62" s="14"/>
      <c r="EM62" s="14"/>
      <c r="EN62" s="14"/>
    </row>
    <row r="63" spans="1:144" ht="37.5" x14ac:dyDescent="0.3">
      <c r="A63" s="140">
        <v>47</v>
      </c>
      <c r="B63" s="137" t="s">
        <v>319</v>
      </c>
      <c r="C63" s="167" t="s">
        <v>353</v>
      </c>
      <c r="D63" s="200">
        <v>7</v>
      </c>
      <c r="E63" s="197">
        <v>2</v>
      </c>
      <c r="F63" s="131">
        <v>3</v>
      </c>
      <c r="G63" s="131">
        <v>4</v>
      </c>
      <c r="H63" s="131">
        <v>10</v>
      </c>
      <c r="I63" s="131">
        <v>14</v>
      </c>
      <c r="J63" s="131">
        <v>12</v>
      </c>
      <c r="K63" s="131">
        <v>8</v>
      </c>
      <c r="L63" s="197">
        <v>24</v>
      </c>
      <c r="M63" s="199" t="s">
        <v>217</v>
      </c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4"/>
      <c r="AK63" s="14"/>
      <c r="AL63" s="14"/>
      <c r="AM63" s="14"/>
      <c r="AN63" s="14"/>
      <c r="AO63" s="14"/>
      <c r="AP63" s="14"/>
      <c r="AQ63" s="14"/>
      <c r="AR63" s="14"/>
      <c r="AS63" s="14"/>
      <c r="AT63" s="14"/>
      <c r="AU63" s="14"/>
      <c r="AV63" s="14"/>
      <c r="AW63" s="14"/>
      <c r="AX63" s="14"/>
      <c r="AY63" s="14"/>
      <c r="AZ63" s="14"/>
      <c r="BA63" s="14"/>
      <c r="BB63" s="14"/>
      <c r="BC63" s="14"/>
      <c r="BD63" s="14"/>
      <c r="BE63" s="14"/>
      <c r="BF63" s="14"/>
      <c r="BG63" s="14"/>
      <c r="BH63" s="14"/>
      <c r="BI63" s="14"/>
      <c r="BJ63" s="14"/>
      <c r="BK63" s="14"/>
      <c r="BL63" s="14"/>
      <c r="BM63" s="14"/>
      <c r="BN63" s="14"/>
      <c r="BO63" s="14"/>
      <c r="BP63" s="14"/>
      <c r="BQ63" s="14"/>
      <c r="BR63" s="14"/>
      <c r="BS63" s="14"/>
      <c r="BT63" s="14"/>
      <c r="BU63" s="14"/>
      <c r="BV63" s="14"/>
      <c r="BW63" s="14"/>
      <c r="BX63" s="14"/>
      <c r="BY63" s="14"/>
      <c r="BZ63" s="14"/>
      <c r="CA63" s="14"/>
      <c r="CB63" s="14"/>
      <c r="CC63" s="14"/>
      <c r="CD63" s="14"/>
      <c r="CE63" s="14"/>
      <c r="CF63" s="14"/>
      <c r="CG63" s="14"/>
      <c r="CH63" s="14"/>
      <c r="CI63" s="14"/>
      <c r="CJ63" s="14"/>
      <c r="CK63" s="14"/>
      <c r="CL63" s="14"/>
      <c r="CM63" s="14"/>
      <c r="CN63" s="14"/>
      <c r="CO63" s="14"/>
      <c r="CP63" s="14"/>
      <c r="CQ63" s="14"/>
      <c r="CR63" s="14"/>
      <c r="CS63" s="14"/>
      <c r="CT63" s="14"/>
      <c r="CU63" s="14"/>
      <c r="CV63" s="14"/>
      <c r="CW63" s="14"/>
      <c r="CX63" s="14"/>
      <c r="CY63" s="14"/>
      <c r="CZ63" s="14"/>
      <c r="DA63" s="14"/>
      <c r="DB63" s="14"/>
      <c r="DC63" s="14"/>
      <c r="DD63" s="14"/>
      <c r="DE63" s="14"/>
      <c r="DF63" s="14"/>
      <c r="DG63" s="14"/>
      <c r="DH63" s="14"/>
      <c r="DI63" s="14"/>
      <c r="DJ63" s="14"/>
      <c r="DK63" s="14"/>
      <c r="DL63" s="14"/>
      <c r="DM63" s="14"/>
      <c r="DN63" s="14"/>
      <c r="DO63" s="14"/>
      <c r="DP63" s="14"/>
      <c r="DQ63" s="14"/>
      <c r="DR63" s="14"/>
      <c r="DS63" s="14"/>
      <c r="DT63" s="14"/>
      <c r="DU63" s="14"/>
      <c r="DV63" s="14"/>
      <c r="DW63" s="14"/>
      <c r="DX63" s="14"/>
      <c r="DY63" s="14"/>
      <c r="DZ63" s="14"/>
      <c r="EA63" s="14"/>
      <c r="EB63" s="14"/>
      <c r="EC63" s="14"/>
      <c r="ED63" s="14"/>
      <c r="EE63" s="14"/>
      <c r="EF63" s="14"/>
      <c r="EG63" s="14"/>
      <c r="EH63" s="14"/>
      <c r="EI63" s="14"/>
      <c r="EJ63" s="14"/>
      <c r="EK63" s="14"/>
      <c r="EL63" s="14"/>
      <c r="EM63" s="14"/>
      <c r="EN63" s="14"/>
    </row>
    <row r="64" spans="1:144" ht="18.75" x14ac:dyDescent="0.3">
      <c r="A64" s="162">
        <v>48</v>
      </c>
      <c r="B64" s="137"/>
      <c r="C64" s="167" t="s">
        <v>361</v>
      </c>
      <c r="D64" s="200">
        <v>16</v>
      </c>
      <c r="E64" s="197">
        <v>7</v>
      </c>
      <c r="F64" s="131">
        <v>6</v>
      </c>
      <c r="G64" s="131">
        <v>10</v>
      </c>
      <c r="H64" s="131">
        <v>16</v>
      </c>
      <c r="I64" s="131">
        <v>20</v>
      </c>
      <c r="J64" s="131">
        <v>18</v>
      </c>
      <c r="K64" s="131">
        <v>10</v>
      </c>
      <c r="L64" s="197">
        <v>38</v>
      </c>
      <c r="M64" s="199" t="s">
        <v>217</v>
      </c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4"/>
      <c r="AJ64" s="14"/>
      <c r="AK64" s="14"/>
      <c r="AL64" s="14"/>
      <c r="AM64" s="14"/>
      <c r="AN64" s="14"/>
      <c r="AO64" s="14"/>
      <c r="AP64" s="14"/>
      <c r="AQ64" s="14"/>
      <c r="AR64" s="14"/>
      <c r="AS64" s="14"/>
      <c r="AT64" s="14"/>
      <c r="AU64" s="14"/>
      <c r="AV64" s="14"/>
      <c r="AW64" s="14"/>
      <c r="AX64" s="14"/>
      <c r="AY64" s="14"/>
      <c r="AZ64" s="14"/>
      <c r="BA64" s="14"/>
      <c r="BB64" s="14"/>
      <c r="BC64" s="14"/>
      <c r="BD64" s="14"/>
      <c r="BE64" s="14"/>
      <c r="BF64" s="14"/>
      <c r="BG64" s="14"/>
      <c r="BH64" s="14"/>
      <c r="BI64" s="14"/>
      <c r="BJ64" s="14"/>
      <c r="BK64" s="14"/>
      <c r="BL64" s="14"/>
      <c r="BM64" s="14"/>
      <c r="BN64" s="14"/>
      <c r="BO64" s="14"/>
      <c r="BP64" s="14"/>
      <c r="BQ64" s="14"/>
      <c r="BR64" s="14"/>
      <c r="BS64" s="14"/>
      <c r="BT64" s="14"/>
      <c r="BU64" s="14"/>
      <c r="BV64" s="14"/>
      <c r="BW64" s="14"/>
      <c r="BX64" s="14"/>
      <c r="BY64" s="14"/>
      <c r="BZ64" s="14"/>
      <c r="CA64" s="14"/>
      <c r="CB64" s="14"/>
      <c r="CC64" s="14"/>
      <c r="CD64" s="14"/>
      <c r="CE64" s="14"/>
      <c r="CF64" s="14"/>
      <c r="CG64" s="14"/>
      <c r="CH64" s="14"/>
      <c r="CI64" s="14"/>
      <c r="CJ64" s="14"/>
      <c r="CK64" s="14"/>
      <c r="CL64" s="14"/>
      <c r="CM64" s="14"/>
      <c r="CN64" s="14"/>
      <c r="CO64" s="14"/>
      <c r="CP64" s="14"/>
      <c r="CQ64" s="14"/>
      <c r="CR64" s="14"/>
      <c r="CS64" s="14"/>
      <c r="CT64" s="14"/>
      <c r="CU64" s="14"/>
      <c r="CV64" s="14"/>
      <c r="CW64" s="14"/>
      <c r="CX64" s="14"/>
      <c r="CY64" s="14"/>
      <c r="CZ64" s="14"/>
      <c r="DA64" s="14"/>
      <c r="DB64" s="14"/>
      <c r="DC64" s="14"/>
      <c r="DD64" s="14"/>
      <c r="DE64" s="14"/>
      <c r="DF64" s="14"/>
      <c r="DG64" s="14"/>
      <c r="DH64" s="14"/>
      <c r="DI64" s="14"/>
      <c r="DJ64" s="14"/>
      <c r="DK64" s="14"/>
      <c r="DL64" s="14"/>
      <c r="DM64" s="14"/>
      <c r="DN64" s="14"/>
      <c r="DO64" s="14"/>
      <c r="DP64" s="14"/>
      <c r="DQ64" s="14"/>
      <c r="DR64" s="14"/>
      <c r="DS64" s="14"/>
      <c r="DT64" s="14"/>
      <c r="DU64" s="14"/>
      <c r="DV64" s="14"/>
      <c r="DW64" s="14"/>
      <c r="DX64" s="14"/>
      <c r="DY64" s="14"/>
      <c r="DZ64" s="14"/>
      <c r="EA64" s="14"/>
      <c r="EB64" s="14"/>
      <c r="EC64" s="14"/>
      <c r="ED64" s="14"/>
      <c r="EE64" s="14"/>
      <c r="EF64" s="14"/>
      <c r="EG64" s="14"/>
      <c r="EH64" s="14"/>
      <c r="EI64" s="14"/>
      <c r="EJ64" s="14"/>
      <c r="EK64" s="14"/>
      <c r="EL64" s="14"/>
      <c r="EM64" s="14"/>
      <c r="EN64" s="14"/>
    </row>
    <row r="65" spans="1:144" ht="18.75" x14ac:dyDescent="0.3">
      <c r="A65" s="162">
        <v>49</v>
      </c>
      <c r="B65" s="137"/>
      <c r="C65" s="167" t="s">
        <v>362</v>
      </c>
      <c r="D65" s="200">
        <v>4</v>
      </c>
      <c r="E65" s="197">
        <v>2</v>
      </c>
      <c r="F65" s="131">
        <v>10</v>
      </c>
      <c r="G65" s="131">
        <v>6</v>
      </c>
      <c r="H65" s="131">
        <v>14</v>
      </c>
      <c r="I65" s="131">
        <v>16</v>
      </c>
      <c r="J65" s="131">
        <v>15</v>
      </c>
      <c r="K65" s="131">
        <v>10</v>
      </c>
      <c r="L65" s="197">
        <v>31</v>
      </c>
      <c r="M65" s="199" t="s">
        <v>217</v>
      </c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/>
      <c r="AJ65" s="14"/>
      <c r="AK65" s="14"/>
      <c r="AL65" s="14"/>
      <c r="AM65" s="14"/>
      <c r="AN65" s="14"/>
      <c r="AO65" s="14"/>
      <c r="AP65" s="14"/>
      <c r="AQ65" s="14"/>
      <c r="AR65" s="14"/>
      <c r="AS65" s="14"/>
      <c r="AT65" s="14"/>
      <c r="AU65" s="14"/>
      <c r="AV65" s="14"/>
      <c r="AW65" s="14"/>
      <c r="AX65" s="14"/>
      <c r="AY65" s="14"/>
      <c r="AZ65" s="14"/>
      <c r="BA65" s="14"/>
      <c r="BB65" s="14"/>
      <c r="BC65" s="14"/>
      <c r="BD65" s="14"/>
      <c r="BE65" s="14"/>
      <c r="BF65" s="14"/>
      <c r="BG65" s="14"/>
      <c r="BH65" s="14"/>
      <c r="BI65" s="14"/>
      <c r="BJ65" s="14"/>
      <c r="BK65" s="14"/>
      <c r="BL65" s="14"/>
      <c r="BM65" s="14"/>
      <c r="BN65" s="14"/>
      <c r="BO65" s="14"/>
      <c r="BP65" s="14"/>
      <c r="BQ65" s="14"/>
      <c r="BR65" s="14"/>
      <c r="BS65" s="14"/>
      <c r="BT65" s="14"/>
      <c r="BU65" s="14"/>
      <c r="BV65" s="14"/>
      <c r="BW65" s="14"/>
      <c r="BX65" s="14"/>
      <c r="BY65" s="14"/>
      <c r="BZ65" s="14"/>
      <c r="CA65" s="14"/>
      <c r="CB65" s="14"/>
      <c r="CC65" s="14"/>
      <c r="CD65" s="14"/>
      <c r="CE65" s="14"/>
      <c r="CF65" s="14"/>
      <c r="CG65" s="14"/>
      <c r="CH65" s="14"/>
      <c r="CI65" s="14"/>
      <c r="CJ65" s="14"/>
      <c r="CK65" s="14"/>
      <c r="CL65" s="14"/>
      <c r="CM65" s="14"/>
      <c r="CN65" s="14"/>
      <c r="CO65" s="14"/>
      <c r="CP65" s="14"/>
      <c r="CQ65" s="14"/>
      <c r="CR65" s="14"/>
      <c r="CS65" s="14"/>
      <c r="CT65" s="14"/>
      <c r="CU65" s="14"/>
      <c r="CV65" s="14"/>
      <c r="CW65" s="14"/>
      <c r="CX65" s="14"/>
      <c r="CY65" s="14"/>
      <c r="CZ65" s="14"/>
      <c r="DA65" s="14"/>
      <c r="DB65" s="14"/>
      <c r="DC65" s="14"/>
      <c r="DD65" s="14"/>
      <c r="DE65" s="14"/>
      <c r="DF65" s="14"/>
      <c r="DG65" s="14"/>
      <c r="DH65" s="14"/>
      <c r="DI65" s="14"/>
      <c r="DJ65" s="14"/>
      <c r="DK65" s="14"/>
      <c r="DL65" s="14"/>
      <c r="DM65" s="14"/>
      <c r="DN65" s="14"/>
      <c r="DO65" s="14"/>
      <c r="DP65" s="14"/>
      <c r="DQ65" s="14"/>
      <c r="DR65" s="14"/>
      <c r="DS65" s="14"/>
      <c r="DT65" s="14"/>
      <c r="DU65" s="14"/>
      <c r="DV65" s="14"/>
      <c r="DW65" s="14"/>
      <c r="DX65" s="14"/>
      <c r="DY65" s="14"/>
      <c r="DZ65" s="14"/>
      <c r="EA65" s="14"/>
      <c r="EB65" s="14"/>
      <c r="EC65" s="14"/>
      <c r="ED65" s="14"/>
      <c r="EE65" s="14"/>
      <c r="EF65" s="14"/>
      <c r="EG65" s="14"/>
      <c r="EH65" s="14"/>
      <c r="EI65" s="14"/>
      <c r="EJ65" s="14"/>
      <c r="EK65" s="14"/>
      <c r="EL65" s="14"/>
      <c r="EM65" s="14"/>
      <c r="EN65" s="14"/>
    </row>
    <row r="66" spans="1:144" s="14" customFormat="1" ht="18.75" x14ac:dyDescent="0.3">
      <c r="A66" s="163">
        <v>50</v>
      </c>
      <c r="B66" s="114"/>
      <c r="C66" s="169" t="s">
        <v>363</v>
      </c>
      <c r="D66" s="197">
        <v>20</v>
      </c>
      <c r="E66" s="197">
        <v>16</v>
      </c>
      <c r="F66" s="197">
        <v>13</v>
      </c>
      <c r="G66" s="200">
        <v>17</v>
      </c>
      <c r="H66" s="200">
        <v>16</v>
      </c>
      <c r="I66" s="197">
        <v>18</v>
      </c>
      <c r="J66" s="200">
        <v>17</v>
      </c>
      <c r="K66" s="200">
        <v>10</v>
      </c>
      <c r="L66" s="197">
        <v>44</v>
      </c>
      <c r="M66" s="199" t="s">
        <v>217</v>
      </c>
    </row>
    <row r="67" spans="1:144" s="14" customFormat="1" ht="18.75" x14ac:dyDescent="0.3">
      <c r="A67" s="163">
        <v>51</v>
      </c>
      <c r="B67" s="114"/>
      <c r="C67" s="169" t="s">
        <v>364</v>
      </c>
      <c r="D67" s="197">
        <v>29</v>
      </c>
      <c r="E67" s="197">
        <v>17</v>
      </c>
      <c r="F67" s="197">
        <v>25</v>
      </c>
      <c r="G67" s="200">
        <v>24</v>
      </c>
      <c r="H67" s="200">
        <v>20</v>
      </c>
      <c r="I67" s="197">
        <v>20</v>
      </c>
      <c r="J67" s="200">
        <v>20</v>
      </c>
      <c r="K67" s="200">
        <v>10</v>
      </c>
      <c r="L67" s="197">
        <v>54</v>
      </c>
      <c r="M67" s="199" t="s">
        <v>217</v>
      </c>
    </row>
    <row r="68" spans="1:144" s="14" customFormat="1" ht="18.75" x14ac:dyDescent="0.3">
      <c r="A68" s="163">
        <v>52</v>
      </c>
      <c r="B68" s="114"/>
      <c r="C68" s="169" t="s">
        <v>365</v>
      </c>
      <c r="D68" s="197">
        <v>10</v>
      </c>
      <c r="E68" s="197">
        <v>1</v>
      </c>
      <c r="F68" s="197">
        <v>3</v>
      </c>
      <c r="G68" s="200">
        <v>5</v>
      </c>
      <c r="H68" s="200">
        <v>10</v>
      </c>
      <c r="I68" s="197">
        <v>16</v>
      </c>
      <c r="J68" s="200">
        <v>13</v>
      </c>
      <c r="K68" s="200">
        <v>10</v>
      </c>
      <c r="L68" s="197">
        <v>28</v>
      </c>
      <c r="M68" s="199" t="s">
        <v>217</v>
      </c>
    </row>
    <row r="69" spans="1:144" s="14" customFormat="1" ht="18.75" x14ac:dyDescent="0.3">
      <c r="A69" s="164"/>
      <c r="B69" s="116"/>
      <c r="C69" s="161"/>
      <c r="G69" s="117"/>
      <c r="H69" s="117"/>
      <c r="J69" s="117"/>
      <c r="K69" s="117"/>
    </row>
    <row r="70" spans="1:144" ht="32.25" customHeight="1" x14ac:dyDescent="0.25">
      <c r="A70" s="318" t="s">
        <v>179</v>
      </c>
      <c r="B70" s="318"/>
      <c r="C70" s="318"/>
      <c r="D70" s="318"/>
      <c r="E70" s="132"/>
      <c r="F70" s="318" t="s">
        <v>178</v>
      </c>
      <c r="G70" s="318"/>
      <c r="H70" s="318"/>
      <c r="I70" s="318"/>
      <c r="J70" s="318" t="s">
        <v>138</v>
      </c>
      <c r="K70" s="318"/>
      <c r="L70" s="318"/>
      <c r="O70" s="14"/>
      <c r="P70" s="14"/>
    </row>
    <row r="71" spans="1:144" ht="18.75" x14ac:dyDescent="0.3">
      <c r="A71" s="14"/>
      <c r="B71" s="14"/>
      <c r="C71" s="116"/>
      <c r="D71" s="116"/>
      <c r="E71" s="14"/>
      <c r="F71" s="14"/>
      <c r="G71" s="14"/>
      <c r="H71" s="117"/>
      <c r="I71" s="117"/>
      <c r="J71" s="14"/>
      <c r="K71" s="117"/>
      <c r="L71" s="118"/>
      <c r="O71" s="14"/>
      <c r="P71" s="14"/>
    </row>
    <row r="72" spans="1:144" ht="18.75" x14ac:dyDescent="0.3">
      <c r="A72" s="14"/>
      <c r="B72" s="14"/>
      <c r="C72" s="116"/>
      <c r="D72" s="116"/>
      <c r="E72" s="14"/>
      <c r="F72" s="14"/>
      <c r="G72" s="14"/>
      <c r="H72" s="117"/>
      <c r="I72" s="117"/>
      <c r="J72" s="14"/>
      <c r="K72" s="117"/>
      <c r="L72" s="118"/>
      <c r="O72" s="14"/>
      <c r="P72" s="14"/>
    </row>
    <row r="73" spans="1:144" ht="18.75" x14ac:dyDescent="0.3">
      <c r="A73" s="14"/>
      <c r="B73" s="14"/>
      <c r="C73" s="116"/>
      <c r="D73" s="116"/>
      <c r="E73" s="14"/>
      <c r="F73" s="14"/>
      <c r="G73" s="14"/>
      <c r="H73" s="117"/>
      <c r="I73" s="117"/>
      <c r="J73" s="14"/>
      <c r="K73" s="117"/>
      <c r="L73" s="118"/>
      <c r="O73" s="14"/>
      <c r="P73" s="14"/>
    </row>
    <row r="74" spans="1:144" ht="18.75" x14ac:dyDescent="0.3">
      <c r="A74" s="14"/>
      <c r="B74" s="14"/>
      <c r="C74" s="116"/>
      <c r="D74" s="116"/>
      <c r="E74" s="14"/>
      <c r="F74" s="14"/>
      <c r="G74" s="14"/>
      <c r="H74" s="117"/>
      <c r="I74" s="117"/>
      <c r="J74" s="14"/>
      <c r="K74" s="117"/>
      <c r="L74" s="118"/>
      <c r="O74" s="14"/>
      <c r="P74" s="14"/>
    </row>
    <row r="75" spans="1:144" ht="18.75" x14ac:dyDescent="0.3">
      <c r="A75" s="14"/>
      <c r="B75" s="14"/>
      <c r="C75" s="116"/>
      <c r="D75" s="116"/>
      <c r="E75" s="14"/>
      <c r="F75" s="14"/>
      <c r="G75" s="14"/>
      <c r="H75" s="117"/>
      <c r="I75" s="117"/>
      <c r="J75" s="14"/>
      <c r="K75" s="117"/>
      <c r="L75" s="118"/>
    </row>
    <row r="76" spans="1:144" ht="18.75" x14ac:dyDescent="0.3">
      <c r="A76" s="14"/>
      <c r="B76" s="14"/>
      <c r="C76" s="14"/>
      <c r="D76" s="14"/>
      <c r="E76" s="14"/>
      <c r="F76" s="14"/>
      <c r="G76" s="14"/>
      <c r="H76" s="117"/>
      <c r="I76" s="117"/>
      <c r="J76" s="14"/>
      <c r="K76" s="117"/>
      <c r="L76" s="118"/>
      <c r="M76" s="133"/>
    </row>
    <row r="77" spans="1:144" x14ac:dyDescent="0.25">
      <c r="A77" s="14"/>
      <c r="B77" s="14"/>
      <c r="C77" s="14"/>
      <c r="D77" s="14"/>
      <c r="E77" s="14"/>
      <c r="F77" s="14"/>
      <c r="G77" s="117"/>
      <c r="H77" s="117"/>
      <c r="I77" s="14"/>
      <c r="J77" s="117"/>
      <c r="K77" s="117"/>
    </row>
    <row r="78" spans="1:144" x14ac:dyDescent="0.25">
      <c r="A78" s="14"/>
      <c r="B78" s="14"/>
      <c r="C78" s="14"/>
      <c r="D78" s="14"/>
      <c r="E78" s="14"/>
      <c r="F78" s="14"/>
      <c r="G78" s="117"/>
      <c r="H78" s="117"/>
      <c r="I78" s="14"/>
      <c r="J78" s="117"/>
      <c r="K78" s="117"/>
    </row>
    <row r="79" spans="1:144" x14ac:dyDescent="0.25">
      <c r="A79" s="14"/>
      <c r="B79" s="14"/>
      <c r="C79" s="14"/>
      <c r="D79" s="14"/>
      <c r="E79" s="14"/>
      <c r="F79" s="14"/>
      <c r="G79" s="117"/>
      <c r="H79" s="117"/>
      <c r="I79" s="14"/>
      <c r="J79" s="117"/>
      <c r="K79" s="117"/>
    </row>
    <row r="80" spans="1:144" x14ac:dyDescent="0.25">
      <c r="A80" s="14"/>
      <c r="B80" s="14"/>
      <c r="C80" s="14"/>
      <c r="D80" s="14"/>
      <c r="E80" s="14"/>
      <c r="F80" s="14"/>
      <c r="G80" s="117"/>
      <c r="H80" s="117"/>
      <c r="I80" s="14"/>
      <c r="J80" s="117"/>
      <c r="K80" s="117"/>
    </row>
    <row r="81" spans="1:11" x14ac:dyDescent="0.25">
      <c r="A81" s="14"/>
      <c r="B81" s="14"/>
      <c r="C81" s="14"/>
      <c r="D81" s="14"/>
      <c r="E81" s="14"/>
      <c r="F81" s="14"/>
      <c r="G81" s="117"/>
      <c r="H81" s="117"/>
      <c r="I81" s="14"/>
      <c r="J81" s="117"/>
      <c r="K81" s="117"/>
    </row>
    <row r="82" spans="1:11" x14ac:dyDescent="0.25">
      <c r="A82" s="14"/>
      <c r="B82" s="14"/>
      <c r="C82" s="14"/>
      <c r="D82" s="14"/>
      <c r="E82" s="14"/>
      <c r="F82" s="14"/>
      <c r="G82" s="117"/>
      <c r="H82" s="117"/>
      <c r="I82" s="14"/>
      <c r="J82" s="117"/>
      <c r="K82" s="117"/>
    </row>
    <row r="83" spans="1:11" x14ac:dyDescent="0.25">
      <c r="A83" s="14"/>
      <c r="B83" s="14"/>
      <c r="C83" s="14"/>
      <c r="D83" s="14"/>
      <c r="E83" s="14"/>
      <c r="F83" s="14"/>
      <c r="G83" s="117"/>
      <c r="H83" s="117"/>
      <c r="I83" s="14"/>
      <c r="J83" s="117"/>
      <c r="K83" s="117"/>
    </row>
    <row r="84" spans="1:11" x14ac:dyDescent="0.25">
      <c r="A84" s="14"/>
      <c r="B84" s="14"/>
      <c r="C84" s="14"/>
      <c r="D84" s="14"/>
      <c r="E84" s="14"/>
      <c r="F84" s="14"/>
      <c r="G84" s="117"/>
      <c r="H84" s="117"/>
      <c r="I84" s="14"/>
      <c r="J84" s="117"/>
      <c r="K84" s="117"/>
    </row>
    <row r="85" spans="1:11" x14ac:dyDescent="0.25">
      <c r="A85" s="14"/>
      <c r="B85" s="14"/>
      <c r="C85" s="14"/>
      <c r="D85" s="14"/>
      <c r="E85" s="14"/>
      <c r="F85" s="14"/>
      <c r="G85" s="117"/>
      <c r="H85" s="117"/>
      <c r="I85" s="14"/>
      <c r="J85" s="117"/>
      <c r="K85" s="117"/>
    </row>
    <row r="86" spans="1:11" x14ac:dyDescent="0.25">
      <c r="A86" s="14"/>
      <c r="B86" s="14"/>
      <c r="C86" s="14"/>
      <c r="D86" s="14"/>
      <c r="E86" s="14"/>
      <c r="F86" s="14"/>
      <c r="G86" s="117"/>
      <c r="H86" s="117"/>
      <c r="I86" s="14"/>
      <c r="J86" s="117"/>
      <c r="K86" s="117"/>
    </row>
    <row r="87" spans="1:11" x14ac:dyDescent="0.25">
      <c r="A87" s="14"/>
      <c r="B87" s="14"/>
      <c r="C87" s="14"/>
      <c r="D87" s="14"/>
      <c r="E87" s="14"/>
      <c r="F87" s="14"/>
      <c r="G87" s="117"/>
      <c r="H87" s="117"/>
      <c r="I87" s="14"/>
      <c r="J87" s="117"/>
      <c r="K87" s="117"/>
    </row>
    <row r="88" spans="1:11" x14ac:dyDescent="0.25">
      <c r="A88" s="14"/>
      <c r="B88" s="14"/>
      <c r="C88" s="14"/>
      <c r="D88" s="14"/>
      <c r="E88" s="14"/>
      <c r="F88" s="14"/>
      <c r="G88" s="117"/>
      <c r="H88" s="117"/>
      <c r="I88" s="14"/>
      <c r="J88" s="117"/>
      <c r="K88" s="117"/>
    </row>
    <row r="89" spans="1:11" x14ac:dyDescent="0.25">
      <c r="A89" s="14"/>
      <c r="B89" s="14"/>
      <c r="C89" s="14"/>
      <c r="D89" s="14"/>
      <c r="E89" s="14"/>
      <c r="F89" s="14"/>
      <c r="G89" s="117"/>
      <c r="H89" s="117"/>
      <c r="I89" s="14"/>
      <c r="J89" s="117"/>
      <c r="K89" s="117"/>
    </row>
  </sheetData>
  <mergeCells count="28">
    <mergeCell ref="A6:L6"/>
    <mergeCell ref="A1:L1"/>
    <mergeCell ref="A2:L2"/>
    <mergeCell ref="A3:L3"/>
    <mergeCell ref="A4:L4"/>
    <mergeCell ref="A5:L5"/>
    <mergeCell ref="L7:L8"/>
    <mergeCell ref="M7:M9"/>
    <mergeCell ref="A7:A9"/>
    <mergeCell ref="B7:B9"/>
    <mergeCell ref="C7:C9"/>
    <mergeCell ref="G7:G8"/>
    <mergeCell ref="K7:K8"/>
    <mergeCell ref="J31:M31"/>
    <mergeCell ref="A30:XFD30"/>
    <mergeCell ref="A32:XFD32"/>
    <mergeCell ref="A31:E31"/>
    <mergeCell ref="F31:I31"/>
    <mergeCell ref="A70:D70"/>
    <mergeCell ref="F70:I70"/>
    <mergeCell ref="J70:L70"/>
    <mergeCell ref="L34:L35"/>
    <mergeCell ref="M34:M36"/>
    <mergeCell ref="A34:A36"/>
    <mergeCell ref="B34:B36"/>
    <mergeCell ref="C34:C36"/>
    <mergeCell ref="G34:G35"/>
    <mergeCell ref="K34:K35"/>
  </mergeCells>
  <printOptions horizontalCentered="1"/>
  <pageMargins left="0.2" right="0.2" top="0" bottom="0" header="0" footer="0"/>
  <pageSetup paperSize="9" scale="70" orientation="landscape" verticalDpi="0" r:id="rId1"/>
  <rowBreaks count="1" manualBreakCount="1">
    <brk id="33" max="16383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8"/>
  <sheetViews>
    <sheetView workbookViewId="0">
      <selection activeCell="B45" sqref="B45:B76"/>
    </sheetView>
  </sheetViews>
  <sheetFormatPr defaultRowHeight="15" x14ac:dyDescent="0.25"/>
  <cols>
    <col min="1" max="1" width="6.42578125" customWidth="1"/>
    <col min="2" max="2" width="20.7109375" customWidth="1"/>
    <col min="3" max="3" width="35.85546875" customWidth="1"/>
    <col min="4" max="4" width="17.140625" customWidth="1"/>
    <col min="5" max="5" width="15.5703125" customWidth="1"/>
    <col min="6" max="6" width="15.7109375" customWidth="1"/>
    <col min="7" max="7" width="17" customWidth="1"/>
    <col min="8" max="8" width="14" customWidth="1"/>
    <col min="9" max="9" width="16" customWidth="1"/>
    <col min="10" max="10" width="13.42578125" customWidth="1"/>
  </cols>
  <sheetData>
    <row r="1" spans="1:10" ht="23.25" x14ac:dyDescent="0.35">
      <c r="A1" s="279" t="s">
        <v>135</v>
      </c>
      <c r="B1" s="280"/>
      <c r="C1" s="280"/>
      <c r="D1" s="280"/>
      <c r="E1" s="280"/>
      <c r="F1" s="280"/>
      <c r="G1" s="280"/>
      <c r="H1" s="280"/>
      <c r="I1" s="280"/>
      <c r="J1" s="145"/>
    </row>
    <row r="2" spans="1:10" ht="23.25" x14ac:dyDescent="0.35">
      <c r="A2" s="282" t="s">
        <v>136</v>
      </c>
      <c r="B2" s="283"/>
      <c r="C2" s="283"/>
      <c r="D2" s="283"/>
      <c r="E2" s="283"/>
      <c r="F2" s="283"/>
      <c r="G2" s="283"/>
      <c r="H2" s="283"/>
      <c r="I2" s="283"/>
      <c r="J2" s="146"/>
    </row>
    <row r="3" spans="1:10" ht="23.25" x14ac:dyDescent="0.35">
      <c r="A3" s="282" t="s">
        <v>236</v>
      </c>
      <c r="B3" s="283"/>
      <c r="C3" s="283"/>
      <c r="D3" s="283"/>
      <c r="E3" s="283"/>
      <c r="F3" s="283"/>
      <c r="G3" s="283"/>
      <c r="H3" s="283"/>
      <c r="I3" s="283"/>
      <c r="J3" s="146"/>
    </row>
    <row r="4" spans="1:10" ht="15.75" x14ac:dyDescent="0.25">
      <c r="A4" s="174" t="s">
        <v>235</v>
      </c>
      <c r="B4" s="175"/>
      <c r="C4" s="175"/>
      <c r="D4" s="175"/>
      <c r="E4" s="175"/>
      <c r="F4" s="175"/>
      <c r="G4" s="175"/>
      <c r="H4" s="175"/>
      <c r="I4" s="175"/>
      <c r="J4" s="176"/>
    </row>
    <row r="5" spans="1:10" ht="15.75" x14ac:dyDescent="0.25">
      <c r="A5" s="174" t="s">
        <v>376</v>
      </c>
      <c r="B5" s="175"/>
      <c r="C5" s="175"/>
      <c r="D5" s="175"/>
      <c r="E5" s="175"/>
      <c r="F5" s="175"/>
      <c r="G5" s="175"/>
      <c r="H5" s="175"/>
      <c r="I5" s="175"/>
      <c r="J5" s="147"/>
    </row>
    <row r="6" spans="1:10" ht="16.5" thickBot="1" x14ac:dyDescent="0.3">
      <c r="A6" s="177" t="s">
        <v>367</v>
      </c>
      <c r="B6" s="178"/>
      <c r="C6" s="178"/>
      <c r="D6" s="178"/>
      <c r="E6" s="178"/>
      <c r="F6" s="178"/>
      <c r="G6" s="178"/>
      <c r="H6" s="178"/>
      <c r="I6" s="178"/>
      <c r="J6" s="148"/>
    </row>
    <row r="7" spans="1:10" ht="31.5" customHeight="1" x14ac:dyDescent="0.25">
      <c r="A7" s="334" t="s">
        <v>2</v>
      </c>
      <c r="B7" s="336" t="s">
        <v>1</v>
      </c>
      <c r="C7" s="338" t="s">
        <v>3</v>
      </c>
      <c r="D7" s="153" t="s">
        <v>372</v>
      </c>
      <c r="E7" s="153" t="s">
        <v>373</v>
      </c>
      <c r="F7" s="153" t="s">
        <v>374</v>
      </c>
      <c r="G7" s="153" t="s">
        <v>375</v>
      </c>
      <c r="H7" s="331" t="s">
        <v>371</v>
      </c>
      <c r="I7" s="319" t="s">
        <v>154</v>
      </c>
      <c r="J7" s="321" t="s">
        <v>234</v>
      </c>
    </row>
    <row r="8" spans="1:10" x14ac:dyDescent="0.25">
      <c r="A8" s="291"/>
      <c r="B8" s="293"/>
      <c r="C8" s="339"/>
      <c r="D8" s="57" t="s">
        <v>155</v>
      </c>
      <c r="E8" s="57" t="s">
        <v>227</v>
      </c>
      <c r="F8" s="57" t="s">
        <v>228</v>
      </c>
      <c r="G8" s="57" t="s">
        <v>359</v>
      </c>
      <c r="H8" s="332"/>
      <c r="I8" s="320"/>
      <c r="J8" s="309"/>
    </row>
    <row r="9" spans="1:10" ht="16.5" thickBot="1" x14ac:dyDescent="0.3">
      <c r="A9" s="291"/>
      <c r="B9" s="293"/>
      <c r="C9" s="339"/>
      <c r="D9" s="179">
        <v>50</v>
      </c>
      <c r="E9" s="179">
        <v>50</v>
      </c>
      <c r="F9" s="179">
        <v>50</v>
      </c>
      <c r="G9" s="179">
        <v>50</v>
      </c>
      <c r="H9" s="180">
        <v>50</v>
      </c>
      <c r="I9" s="181">
        <v>50</v>
      </c>
      <c r="J9" s="341"/>
    </row>
    <row r="10" spans="1:10" ht="20.25" x14ac:dyDescent="0.25">
      <c r="A10" s="183">
        <v>1</v>
      </c>
      <c r="B10" s="170" t="s">
        <v>439</v>
      </c>
      <c r="C10" s="184" t="s">
        <v>377</v>
      </c>
      <c r="D10" s="184"/>
      <c r="E10" s="185"/>
      <c r="F10" s="185"/>
      <c r="G10" s="185"/>
      <c r="H10" s="185"/>
      <c r="I10" s="186"/>
      <c r="J10" s="187"/>
    </row>
    <row r="11" spans="1:10" ht="20.25" x14ac:dyDescent="0.25">
      <c r="A11" s="141">
        <v>2</v>
      </c>
      <c r="B11" s="170" t="s">
        <v>439</v>
      </c>
      <c r="C11" s="182" t="s">
        <v>378</v>
      </c>
      <c r="D11" s="182"/>
      <c r="E11" s="131"/>
      <c r="F11" s="131"/>
      <c r="G11" s="131"/>
      <c r="H11" s="131"/>
      <c r="I11" s="10"/>
      <c r="J11" s="151"/>
    </row>
    <row r="12" spans="1:10" ht="20.25" x14ac:dyDescent="0.25">
      <c r="A12" s="141">
        <v>3</v>
      </c>
      <c r="B12" s="170" t="s">
        <v>439</v>
      </c>
      <c r="C12" s="182" t="s">
        <v>379</v>
      </c>
      <c r="D12" s="182"/>
      <c r="E12" s="160"/>
      <c r="F12" s="160"/>
      <c r="G12" s="160"/>
      <c r="H12" s="160"/>
      <c r="I12" s="10"/>
      <c r="J12" s="151"/>
    </row>
    <row r="13" spans="1:10" ht="31.5" customHeight="1" x14ac:dyDescent="0.25">
      <c r="A13" s="141">
        <v>4</v>
      </c>
      <c r="B13" s="170" t="s">
        <v>439</v>
      </c>
      <c r="C13" s="182" t="s">
        <v>380</v>
      </c>
      <c r="D13" s="182"/>
      <c r="E13" s="160"/>
      <c r="F13" s="160"/>
      <c r="G13" s="160"/>
      <c r="H13" s="160"/>
      <c r="I13" s="10"/>
      <c r="J13" s="151"/>
    </row>
    <row r="14" spans="1:10" ht="20.25" x14ac:dyDescent="0.25">
      <c r="A14" s="141">
        <v>5</v>
      </c>
      <c r="B14" s="170" t="s">
        <v>439</v>
      </c>
      <c r="C14" s="182" t="s">
        <v>381</v>
      </c>
      <c r="D14" s="182"/>
      <c r="E14" s="160"/>
      <c r="F14" s="160"/>
      <c r="G14" s="160"/>
      <c r="H14" s="160"/>
      <c r="I14" s="10"/>
      <c r="J14" s="151"/>
    </row>
    <row r="15" spans="1:10" ht="20.25" x14ac:dyDescent="0.25">
      <c r="A15" s="141">
        <v>6</v>
      </c>
      <c r="B15" s="170" t="s">
        <v>439</v>
      </c>
      <c r="C15" s="182" t="s">
        <v>382</v>
      </c>
      <c r="D15" s="182"/>
      <c r="E15" s="160"/>
      <c r="F15" s="160"/>
      <c r="G15" s="160"/>
      <c r="H15" s="160"/>
      <c r="I15" s="10"/>
      <c r="J15" s="151"/>
    </row>
    <row r="16" spans="1:10" ht="20.25" x14ac:dyDescent="0.25">
      <c r="A16" s="141">
        <v>7</v>
      </c>
      <c r="B16" s="170" t="s">
        <v>439</v>
      </c>
      <c r="C16" s="182" t="s">
        <v>383</v>
      </c>
      <c r="D16" s="182"/>
      <c r="E16" s="160"/>
      <c r="F16" s="160"/>
      <c r="G16" s="160"/>
      <c r="H16" s="160"/>
      <c r="I16" s="10"/>
      <c r="J16" s="151"/>
    </row>
    <row r="17" spans="1:10" ht="20.25" x14ac:dyDescent="0.25">
      <c r="A17" s="141">
        <v>8</v>
      </c>
      <c r="B17" s="170" t="s">
        <v>439</v>
      </c>
      <c r="C17" s="182" t="s">
        <v>384</v>
      </c>
      <c r="D17" s="182"/>
      <c r="E17" s="131"/>
      <c r="F17" s="131"/>
      <c r="G17" s="131"/>
      <c r="H17" s="131"/>
      <c r="I17" s="10"/>
      <c r="J17" s="151"/>
    </row>
    <row r="18" spans="1:10" ht="20.25" x14ac:dyDescent="0.25">
      <c r="A18" s="141">
        <v>9</v>
      </c>
      <c r="B18" s="170" t="s">
        <v>439</v>
      </c>
      <c r="C18" s="182" t="s">
        <v>385</v>
      </c>
      <c r="D18" s="182"/>
      <c r="E18" s="160"/>
      <c r="F18" s="160"/>
      <c r="G18" s="160"/>
      <c r="H18" s="160"/>
      <c r="I18" s="10"/>
      <c r="J18" s="151"/>
    </row>
    <row r="19" spans="1:10" ht="20.25" x14ac:dyDescent="0.25">
      <c r="A19" s="141">
        <v>10</v>
      </c>
      <c r="B19" s="170" t="s">
        <v>439</v>
      </c>
      <c r="C19" s="182" t="s">
        <v>386</v>
      </c>
      <c r="D19" s="182"/>
      <c r="E19" s="160"/>
      <c r="F19" s="160"/>
      <c r="G19" s="160"/>
      <c r="H19" s="160"/>
      <c r="I19" s="10"/>
      <c r="J19" s="151"/>
    </row>
    <row r="20" spans="1:10" ht="20.25" x14ac:dyDescent="0.25">
      <c r="A20" s="141">
        <v>11</v>
      </c>
      <c r="B20" s="170" t="s">
        <v>439</v>
      </c>
      <c r="C20" s="182" t="s">
        <v>387</v>
      </c>
      <c r="D20" s="182"/>
      <c r="E20" s="160"/>
      <c r="F20" s="160"/>
      <c r="G20" s="160"/>
      <c r="H20" s="160"/>
      <c r="I20" s="10"/>
      <c r="J20" s="151"/>
    </row>
    <row r="21" spans="1:10" ht="33" customHeight="1" x14ac:dyDescent="0.25">
      <c r="A21" s="141">
        <v>12</v>
      </c>
      <c r="B21" s="170" t="s">
        <v>439</v>
      </c>
      <c r="C21" s="182" t="s">
        <v>388</v>
      </c>
      <c r="D21" s="182"/>
      <c r="E21" s="160"/>
      <c r="F21" s="160"/>
      <c r="G21" s="160"/>
      <c r="H21" s="160"/>
      <c r="I21" s="10"/>
      <c r="J21" s="151"/>
    </row>
    <row r="22" spans="1:10" ht="20.25" x14ac:dyDescent="0.25">
      <c r="A22" s="141">
        <v>13</v>
      </c>
      <c r="B22" s="170" t="s">
        <v>439</v>
      </c>
      <c r="C22" s="182" t="s">
        <v>389</v>
      </c>
      <c r="D22" s="182"/>
      <c r="E22" s="160"/>
      <c r="F22" s="160"/>
      <c r="G22" s="160"/>
      <c r="H22" s="160"/>
      <c r="I22" s="10"/>
      <c r="J22" s="151"/>
    </row>
    <row r="23" spans="1:10" ht="20.25" x14ac:dyDescent="0.25">
      <c r="A23" s="141">
        <v>14</v>
      </c>
      <c r="B23" s="170" t="s">
        <v>439</v>
      </c>
      <c r="C23" s="182" t="s">
        <v>390</v>
      </c>
      <c r="D23" s="182"/>
      <c r="E23" s="160"/>
      <c r="F23" s="160"/>
      <c r="G23" s="160"/>
      <c r="H23" s="160"/>
      <c r="I23" s="10"/>
      <c r="J23" s="151"/>
    </row>
    <row r="24" spans="1:10" ht="20.25" x14ac:dyDescent="0.25">
      <c r="A24" s="141">
        <v>15</v>
      </c>
      <c r="B24" s="170" t="s">
        <v>439</v>
      </c>
      <c r="C24" s="182" t="s">
        <v>391</v>
      </c>
      <c r="D24" s="182"/>
      <c r="E24" s="160"/>
      <c r="F24" s="160"/>
      <c r="G24" s="160"/>
      <c r="H24" s="160"/>
      <c r="I24" s="10"/>
      <c r="J24" s="151"/>
    </row>
    <row r="25" spans="1:10" ht="20.25" customHeight="1" x14ac:dyDescent="0.25">
      <c r="A25" s="141">
        <v>16</v>
      </c>
      <c r="B25" s="170" t="s">
        <v>439</v>
      </c>
      <c r="C25" s="182" t="s">
        <v>392</v>
      </c>
      <c r="D25" s="182"/>
      <c r="E25" s="160"/>
      <c r="F25" s="160"/>
      <c r="G25" s="160"/>
      <c r="H25" s="160"/>
      <c r="I25" s="10"/>
      <c r="J25" s="151"/>
    </row>
    <row r="26" spans="1:10" ht="20.25" x14ac:dyDescent="0.25">
      <c r="A26" s="142">
        <v>17</v>
      </c>
      <c r="B26" s="170" t="s">
        <v>439</v>
      </c>
      <c r="C26" s="182" t="s">
        <v>393</v>
      </c>
      <c r="D26" s="182"/>
      <c r="E26" s="131"/>
      <c r="F26" s="131"/>
      <c r="G26" s="131"/>
      <c r="H26" s="131"/>
      <c r="I26" s="10"/>
      <c r="J26" s="151"/>
    </row>
    <row r="27" spans="1:10" ht="20.25" x14ac:dyDescent="0.25">
      <c r="A27" s="142">
        <v>18</v>
      </c>
      <c r="B27" s="170" t="s">
        <v>439</v>
      </c>
      <c r="C27" s="182" t="s">
        <v>394</v>
      </c>
      <c r="D27" s="182"/>
      <c r="E27" s="131"/>
      <c r="F27" s="131"/>
      <c r="G27" s="131"/>
      <c r="H27" s="131"/>
      <c r="I27" s="10"/>
      <c r="J27" s="151"/>
    </row>
    <row r="28" spans="1:10" ht="20.25" x14ac:dyDescent="0.25">
      <c r="A28" s="142">
        <v>19</v>
      </c>
      <c r="B28" s="170" t="s">
        <v>439</v>
      </c>
      <c r="C28" s="182" t="s">
        <v>395</v>
      </c>
      <c r="D28" s="182"/>
      <c r="E28" s="160"/>
      <c r="F28" s="160"/>
      <c r="G28" s="160"/>
      <c r="H28" s="160"/>
      <c r="I28" s="10"/>
      <c r="J28" s="151"/>
    </row>
    <row r="29" spans="1:10" ht="20.25" x14ac:dyDescent="0.25">
      <c r="A29" s="142">
        <v>20</v>
      </c>
      <c r="B29" s="170" t="s">
        <v>439</v>
      </c>
      <c r="C29" s="182" t="s">
        <v>396</v>
      </c>
      <c r="D29" s="182"/>
      <c r="E29" s="131"/>
      <c r="F29" s="131"/>
      <c r="G29" s="131"/>
      <c r="H29" s="131"/>
      <c r="I29" s="10"/>
      <c r="J29" s="151"/>
    </row>
    <row r="30" spans="1:10" ht="18.75" x14ac:dyDescent="0.25">
      <c r="A30" s="140">
        <v>21</v>
      </c>
      <c r="B30" s="170" t="s">
        <v>439</v>
      </c>
      <c r="C30" s="182" t="s">
        <v>397</v>
      </c>
      <c r="D30" s="182"/>
      <c r="E30" s="3"/>
      <c r="F30" s="3"/>
      <c r="G30" s="3"/>
      <c r="H30" s="3"/>
      <c r="I30" s="3"/>
      <c r="J30" s="151"/>
    </row>
    <row r="31" spans="1:10" ht="18.75" x14ac:dyDescent="0.25">
      <c r="A31" s="140">
        <v>22</v>
      </c>
      <c r="B31" s="170" t="s">
        <v>439</v>
      </c>
      <c r="C31" s="182" t="s">
        <v>398</v>
      </c>
      <c r="D31" s="182"/>
      <c r="E31" s="3"/>
      <c r="F31" s="3"/>
      <c r="G31" s="3"/>
      <c r="H31" s="3"/>
      <c r="I31" s="3"/>
      <c r="J31" s="151"/>
    </row>
    <row r="32" spans="1:10" ht="18.75" x14ac:dyDescent="0.25">
      <c r="A32" s="143">
        <v>23</v>
      </c>
      <c r="B32" s="170" t="s">
        <v>439</v>
      </c>
      <c r="C32" s="182" t="s">
        <v>399</v>
      </c>
      <c r="D32" s="182"/>
      <c r="E32" s="3"/>
      <c r="F32" s="3"/>
      <c r="G32" s="3"/>
      <c r="H32" s="3"/>
      <c r="I32" s="3"/>
      <c r="J32" s="151"/>
    </row>
    <row r="33" spans="1:13" ht="18.75" x14ac:dyDescent="0.25">
      <c r="A33" s="140">
        <v>24</v>
      </c>
      <c r="B33" s="170" t="s">
        <v>439</v>
      </c>
      <c r="C33" s="182" t="s">
        <v>400</v>
      </c>
      <c r="D33" s="182"/>
      <c r="E33" s="3"/>
      <c r="F33" s="3"/>
      <c r="G33" s="3"/>
      <c r="H33" s="3"/>
      <c r="I33" s="3"/>
      <c r="J33" s="151"/>
    </row>
    <row r="34" spans="1:13" ht="18.75" x14ac:dyDescent="0.25">
      <c r="A34" s="140">
        <v>25</v>
      </c>
      <c r="B34" s="170" t="s">
        <v>439</v>
      </c>
      <c r="C34" s="182" t="s">
        <v>401</v>
      </c>
      <c r="D34" s="182"/>
      <c r="E34" s="3"/>
      <c r="F34" s="3"/>
      <c r="G34" s="3"/>
      <c r="H34" s="3"/>
      <c r="I34" s="3"/>
      <c r="J34" s="151"/>
    </row>
    <row r="35" spans="1:13" ht="18.75" x14ac:dyDescent="0.25">
      <c r="A35" s="140">
        <v>26</v>
      </c>
      <c r="B35" s="170" t="s">
        <v>439</v>
      </c>
      <c r="C35" s="182" t="s">
        <v>402</v>
      </c>
      <c r="D35" s="182"/>
      <c r="E35" s="3"/>
      <c r="F35" s="3"/>
      <c r="G35" s="3"/>
      <c r="H35" s="3"/>
      <c r="I35" s="3"/>
      <c r="J35" s="151"/>
    </row>
    <row r="36" spans="1:13" ht="18.75" x14ac:dyDescent="0.25">
      <c r="A36" s="140">
        <v>27</v>
      </c>
      <c r="B36" s="170" t="s">
        <v>439</v>
      </c>
      <c r="C36" s="182" t="s">
        <v>403</v>
      </c>
      <c r="D36" s="182"/>
      <c r="E36" s="3"/>
      <c r="F36" s="3"/>
      <c r="G36" s="3"/>
      <c r="H36" s="3"/>
      <c r="I36" s="3"/>
      <c r="J36" s="151"/>
    </row>
    <row r="37" spans="1:13" ht="18.75" x14ac:dyDescent="0.25">
      <c r="A37" s="140">
        <v>28</v>
      </c>
      <c r="B37" s="170" t="s">
        <v>439</v>
      </c>
      <c r="C37" s="182" t="s">
        <v>404</v>
      </c>
      <c r="D37" s="182"/>
      <c r="E37" s="3"/>
      <c r="F37" s="3"/>
      <c r="G37" s="3"/>
      <c r="H37" s="3"/>
      <c r="I37" s="3"/>
      <c r="J37" s="151"/>
    </row>
    <row r="38" spans="1:13" ht="18.75" x14ac:dyDescent="0.25">
      <c r="A38" s="140">
        <v>29</v>
      </c>
      <c r="B38" s="170" t="s">
        <v>439</v>
      </c>
      <c r="C38" s="182" t="s">
        <v>405</v>
      </c>
      <c r="D38" s="182"/>
      <c r="E38" s="3"/>
      <c r="F38" s="3"/>
      <c r="G38" s="3"/>
      <c r="H38" s="3"/>
      <c r="I38" s="3"/>
      <c r="J38" s="151"/>
    </row>
    <row r="39" spans="1:13" ht="19.5" thickBot="1" x14ac:dyDescent="0.3">
      <c r="A39" s="188">
        <v>30</v>
      </c>
      <c r="B39" s="170" t="s">
        <v>439</v>
      </c>
      <c r="C39" s="190" t="s">
        <v>406</v>
      </c>
      <c r="D39" s="190"/>
      <c r="E39" s="189"/>
      <c r="F39" s="189"/>
      <c r="G39" s="189"/>
      <c r="H39" s="189"/>
      <c r="I39" s="189"/>
      <c r="J39" s="152"/>
    </row>
    <row r="40" spans="1:13" ht="30" customHeight="1" x14ac:dyDescent="0.25">
      <c r="A40" s="318" t="s">
        <v>179</v>
      </c>
      <c r="B40" s="318"/>
      <c r="C40" s="318"/>
      <c r="D40" s="318"/>
      <c r="E40" s="318"/>
      <c r="F40" s="318" t="s">
        <v>178</v>
      </c>
      <c r="G40" s="318"/>
      <c r="H40" s="318"/>
      <c r="I40" s="318"/>
      <c r="J40" s="318"/>
      <c r="K40" s="14"/>
      <c r="L40" s="14"/>
      <c r="M40" s="14"/>
    </row>
    <row r="41" spans="1:13" ht="15.75" thickBot="1" x14ac:dyDescent="0.3"/>
    <row r="42" spans="1:13" ht="15.75" x14ac:dyDescent="0.25">
      <c r="A42" s="334" t="s">
        <v>2</v>
      </c>
      <c r="B42" s="336" t="s">
        <v>1</v>
      </c>
      <c r="C42" s="338" t="s">
        <v>3</v>
      </c>
      <c r="D42" s="153" t="s">
        <v>372</v>
      </c>
      <c r="E42" s="153" t="s">
        <v>373</v>
      </c>
      <c r="F42" s="153" t="s">
        <v>374</v>
      </c>
      <c r="G42" s="153" t="s">
        <v>375</v>
      </c>
      <c r="H42" s="331" t="s">
        <v>371</v>
      </c>
      <c r="I42" s="319" t="s">
        <v>154</v>
      </c>
      <c r="J42" s="321" t="s">
        <v>234</v>
      </c>
    </row>
    <row r="43" spans="1:13" x14ac:dyDescent="0.25">
      <c r="A43" s="291"/>
      <c r="B43" s="293"/>
      <c r="C43" s="339"/>
      <c r="D43" s="57" t="s">
        <v>155</v>
      </c>
      <c r="E43" s="57" t="s">
        <v>227</v>
      </c>
      <c r="F43" s="57" t="s">
        <v>228</v>
      </c>
      <c r="G43" s="57" t="s">
        <v>359</v>
      </c>
      <c r="H43" s="332"/>
      <c r="I43" s="320"/>
      <c r="J43" s="309"/>
    </row>
    <row r="44" spans="1:13" ht="15.75" x14ac:dyDescent="0.25">
      <c r="A44" s="291"/>
      <c r="B44" s="293"/>
      <c r="C44" s="339"/>
      <c r="D44" s="179">
        <v>50</v>
      </c>
      <c r="E44" s="179">
        <v>50</v>
      </c>
      <c r="F44" s="179">
        <v>50</v>
      </c>
      <c r="G44" s="179">
        <v>50</v>
      </c>
      <c r="H44" s="180">
        <v>50</v>
      </c>
      <c r="I44" s="181">
        <v>50</v>
      </c>
      <c r="J44" s="341"/>
    </row>
    <row r="45" spans="1:13" ht="18.75" x14ac:dyDescent="0.25">
      <c r="A45" s="140">
        <v>31</v>
      </c>
      <c r="B45" s="170" t="s">
        <v>439</v>
      </c>
      <c r="C45" s="182" t="s">
        <v>407</v>
      </c>
      <c r="D45" s="182"/>
      <c r="E45" s="3"/>
      <c r="F45" s="3"/>
      <c r="G45" s="3"/>
      <c r="H45" s="3"/>
      <c r="I45" s="3"/>
      <c r="J45" s="151"/>
    </row>
    <row r="46" spans="1:13" ht="18.75" x14ac:dyDescent="0.25">
      <c r="A46" s="140">
        <v>32</v>
      </c>
      <c r="B46" s="170" t="s">
        <v>439</v>
      </c>
      <c r="C46" s="182" t="s">
        <v>408</v>
      </c>
      <c r="D46" s="182"/>
      <c r="E46" s="3"/>
      <c r="F46" s="3"/>
      <c r="G46" s="3"/>
      <c r="H46" s="3"/>
      <c r="I46" s="3"/>
      <c r="J46" s="151"/>
    </row>
    <row r="47" spans="1:13" ht="18.75" x14ac:dyDescent="0.25">
      <c r="A47" s="140">
        <v>33</v>
      </c>
      <c r="B47" s="170" t="s">
        <v>439</v>
      </c>
      <c r="C47" s="182" t="s">
        <v>409</v>
      </c>
      <c r="D47" s="182"/>
      <c r="E47" s="3"/>
      <c r="F47" s="3"/>
      <c r="G47" s="3"/>
      <c r="H47" s="3"/>
      <c r="I47" s="3"/>
      <c r="J47" s="151"/>
    </row>
    <row r="48" spans="1:13" ht="18.75" x14ac:dyDescent="0.25">
      <c r="A48" s="140">
        <v>34</v>
      </c>
      <c r="B48" s="170" t="s">
        <v>439</v>
      </c>
      <c r="C48" s="182" t="s">
        <v>410</v>
      </c>
      <c r="D48" s="182"/>
      <c r="E48" s="3"/>
      <c r="F48" s="3"/>
      <c r="G48" s="3"/>
      <c r="H48" s="3"/>
      <c r="I48" s="3"/>
      <c r="J48" s="151"/>
    </row>
    <row r="49" spans="1:10" ht="18.75" x14ac:dyDescent="0.25">
      <c r="A49" s="140">
        <v>35</v>
      </c>
      <c r="B49" s="170" t="s">
        <v>439</v>
      </c>
      <c r="C49" s="182" t="s">
        <v>411</v>
      </c>
      <c r="D49" s="182"/>
      <c r="E49" s="3"/>
      <c r="F49" s="3"/>
      <c r="G49" s="3"/>
      <c r="H49" s="3"/>
      <c r="I49" s="3"/>
      <c r="J49" s="151"/>
    </row>
    <row r="50" spans="1:10" ht="18.75" x14ac:dyDescent="0.25">
      <c r="A50" s="140">
        <v>36</v>
      </c>
      <c r="B50" s="170" t="s">
        <v>439</v>
      </c>
      <c r="C50" s="182" t="s">
        <v>412</v>
      </c>
      <c r="D50" s="182"/>
      <c r="E50" s="3"/>
      <c r="F50" s="3"/>
      <c r="G50" s="3"/>
      <c r="H50" s="3"/>
      <c r="I50" s="3"/>
      <c r="J50" s="151"/>
    </row>
    <row r="51" spans="1:10" ht="18.75" x14ac:dyDescent="0.25">
      <c r="A51" s="140">
        <v>37</v>
      </c>
      <c r="B51" s="170" t="s">
        <v>439</v>
      </c>
      <c r="C51" s="182" t="s">
        <v>413</v>
      </c>
      <c r="D51" s="182"/>
      <c r="E51" s="3"/>
      <c r="F51" s="3"/>
      <c r="G51" s="3"/>
      <c r="H51" s="3"/>
      <c r="I51" s="3"/>
      <c r="J51" s="151"/>
    </row>
    <row r="52" spans="1:10" ht="18.75" x14ac:dyDescent="0.25">
      <c r="A52" s="140">
        <v>38</v>
      </c>
      <c r="B52" s="170" t="s">
        <v>439</v>
      </c>
      <c r="C52" s="182" t="s">
        <v>414</v>
      </c>
      <c r="D52" s="182"/>
      <c r="E52" s="3"/>
      <c r="F52" s="3"/>
      <c r="G52" s="3"/>
      <c r="H52" s="3"/>
      <c r="I52" s="3"/>
      <c r="J52" s="151"/>
    </row>
    <row r="53" spans="1:10" ht="18.75" x14ac:dyDescent="0.25">
      <c r="A53" s="140">
        <v>39</v>
      </c>
      <c r="B53" s="170" t="s">
        <v>439</v>
      </c>
      <c r="C53" s="182" t="s">
        <v>415</v>
      </c>
      <c r="D53" s="182"/>
      <c r="E53" s="3"/>
      <c r="F53" s="3"/>
      <c r="G53" s="3"/>
      <c r="H53" s="3"/>
      <c r="I53" s="3"/>
      <c r="J53" s="151"/>
    </row>
    <row r="54" spans="1:10" ht="18.75" customHeight="1" x14ac:dyDescent="0.25">
      <c r="A54" s="140">
        <v>40</v>
      </c>
      <c r="B54" s="170" t="s">
        <v>439</v>
      </c>
      <c r="C54" s="182" t="s">
        <v>416</v>
      </c>
      <c r="D54" s="182"/>
      <c r="E54" s="3"/>
      <c r="F54" s="3"/>
      <c r="G54" s="3"/>
      <c r="H54" s="3"/>
      <c r="I54" s="3"/>
      <c r="J54" s="151"/>
    </row>
    <row r="55" spans="1:10" ht="18.75" x14ac:dyDescent="0.25">
      <c r="A55" s="140">
        <v>41</v>
      </c>
      <c r="B55" s="170" t="s">
        <v>439</v>
      </c>
      <c r="C55" s="182" t="s">
        <v>417</v>
      </c>
      <c r="D55" s="182"/>
      <c r="E55" s="3"/>
      <c r="F55" s="3"/>
      <c r="G55" s="3"/>
      <c r="H55" s="3"/>
      <c r="I55" s="3"/>
      <c r="J55" s="151"/>
    </row>
    <row r="56" spans="1:10" ht="18.75" x14ac:dyDescent="0.25">
      <c r="A56" s="140">
        <v>42</v>
      </c>
      <c r="B56" s="170" t="s">
        <v>439</v>
      </c>
      <c r="C56" s="182" t="s">
        <v>418</v>
      </c>
      <c r="D56" s="182"/>
      <c r="E56" s="3"/>
      <c r="F56" s="3"/>
      <c r="G56" s="3"/>
      <c r="H56" s="3"/>
      <c r="I56" s="3"/>
      <c r="J56" s="151"/>
    </row>
    <row r="57" spans="1:10" ht="18.75" x14ac:dyDescent="0.25">
      <c r="A57" s="140">
        <v>43</v>
      </c>
      <c r="B57" s="170" t="s">
        <v>439</v>
      </c>
      <c r="C57" s="182" t="s">
        <v>419</v>
      </c>
      <c r="D57" s="182"/>
      <c r="E57" s="3"/>
      <c r="F57" s="3"/>
      <c r="G57" s="3"/>
      <c r="H57" s="3"/>
      <c r="I57" s="3"/>
      <c r="J57" s="151"/>
    </row>
    <row r="58" spans="1:10" ht="18.75" x14ac:dyDescent="0.25">
      <c r="A58" s="140">
        <v>44</v>
      </c>
      <c r="B58" s="170" t="s">
        <v>439</v>
      </c>
      <c r="C58" s="182" t="s">
        <v>420</v>
      </c>
      <c r="D58" s="182"/>
      <c r="E58" s="3"/>
      <c r="F58" s="3"/>
      <c r="G58" s="3"/>
      <c r="H58" s="3"/>
      <c r="I58" s="3"/>
      <c r="J58" s="151"/>
    </row>
    <row r="59" spans="1:10" ht="18.75" x14ac:dyDescent="0.25">
      <c r="A59" s="140">
        <v>45</v>
      </c>
      <c r="B59" s="170" t="s">
        <v>439</v>
      </c>
      <c r="C59" s="182" t="s">
        <v>421</v>
      </c>
      <c r="D59" s="182"/>
      <c r="E59" s="3"/>
      <c r="F59" s="3"/>
      <c r="G59" s="3"/>
      <c r="H59" s="3"/>
      <c r="I59" s="3"/>
      <c r="J59" s="151"/>
    </row>
    <row r="60" spans="1:10" ht="18.75" x14ac:dyDescent="0.25">
      <c r="A60" s="140">
        <v>46</v>
      </c>
      <c r="B60" s="170" t="s">
        <v>439</v>
      </c>
      <c r="C60" s="182" t="s">
        <v>422</v>
      </c>
      <c r="D60" s="182"/>
      <c r="E60" s="3"/>
      <c r="F60" s="3"/>
      <c r="G60" s="3"/>
      <c r="H60" s="3"/>
      <c r="I60" s="3"/>
      <c r="J60" s="151"/>
    </row>
    <row r="61" spans="1:10" ht="18.75" x14ac:dyDescent="0.25">
      <c r="A61" s="140">
        <v>47</v>
      </c>
      <c r="B61" s="170" t="s">
        <v>439</v>
      </c>
      <c r="C61" s="182" t="s">
        <v>423</v>
      </c>
      <c r="D61" s="182"/>
      <c r="E61" s="3"/>
      <c r="F61" s="3"/>
      <c r="G61" s="3"/>
      <c r="H61" s="3"/>
      <c r="I61" s="3"/>
      <c r="J61" s="151"/>
    </row>
    <row r="62" spans="1:10" ht="18.75" x14ac:dyDescent="0.25">
      <c r="A62" s="140">
        <v>48</v>
      </c>
      <c r="B62" s="170" t="s">
        <v>439</v>
      </c>
      <c r="C62" s="182" t="s">
        <v>424</v>
      </c>
      <c r="D62" s="182"/>
      <c r="E62" s="3"/>
      <c r="F62" s="3"/>
      <c r="G62" s="3"/>
      <c r="H62" s="3"/>
      <c r="I62" s="3"/>
      <c r="J62" s="151"/>
    </row>
    <row r="63" spans="1:10" ht="18.75" x14ac:dyDescent="0.25">
      <c r="A63" s="140">
        <v>49</v>
      </c>
      <c r="B63" s="170" t="s">
        <v>439</v>
      </c>
      <c r="C63" s="182" t="s">
        <v>425</v>
      </c>
      <c r="D63" s="182"/>
      <c r="E63" s="3"/>
      <c r="F63" s="3"/>
      <c r="G63" s="3"/>
      <c r="H63" s="3"/>
      <c r="I63" s="3"/>
      <c r="J63" s="151"/>
    </row>
    <row r="64" spans="1:10" ht="18.75" x14ac:dyDescent="0.3">
      <c r="A64" s="191">
        <v>50</v>
      </c>
      <c r="B64" s="170" t="s">
        <v>439</v>
      </c>
      <c r="C64" s="182" t="s">
        <v>426</v>
      </c>
      <c r="D64" s="182"/>
      <c r="E64" s="3"/>
      <c r="F64" s="3"/>
      <c r="G64" s="3"/>
      <c r="H64" s="3"/>
      <c r="I64" s="3"/>
      <c r="J64" s="151"/>
    </row>
    <row r="65" spans="1:13" ht="18.75" x14ac:dyDescent="0.3">
      <c r="A65" s="191">
        <v>51</v>
      </c>
      <c r="B65" s="170" t="s">
        <v>439</v>
      </c>
      <c r="C65" s="182" t="s">
        <v>427</v>
      </c>
      <c r="D65" s="182"/>
      <c r="E65" s="3"/>
      <c r="F65" s="3"/>
      <c r="G65" s="3"/>
      <c r="H65" s="3"/>
      <c r="I65" s="3"/>
      <c r="J65" s="151"/>
    </row>
    <row r="66" spans="1:13" ht="18.75" x14ac:dyDescent="0.3">
      <c r="A66" s="192">
        <v>52</v>
      </c>
      <c r="B66" s="170" t="s">
        <v>439</v>
      </c>
      <c r="C66" s="182" t="s">
        <v>428</v>
      </c>
      <c r="D66" s="182"/>
      <c r="E66" s="3"/>
      <c r="F66" s="3"/>
      <c r="G66" s="3"/>
      <c r="H66" s="3"/>
      <c r="I66" s="3"/>
      <c r="J66" s="151"/>
    </row>
    <row r="67" spans="1:13" ht="18.75" x14ac:dyDescent="0.3">
      <c r="A67" s="192">
        <v>53</v>
      </c>
      <c r="B67" s="170" t="s">
        <v>439</v>
      </c>
      <c r="C67" s="182" t="s">
        <v>429</v>
      </c>
      <c r="D67" s="182"/>
      <c r="E67" s="3"/>
      <c r="F67" s="3"/>
      <c r="G67" s="3"/>
      <c r="H67" s="3"/>
      <c r="I67" s="3"/>
      <c r="J67" s="151"/>
    </row>
    <row r="68" spans="1:13" ht="18.75" x14ac:dyDescent="0.3">
      <c r="A68" s="192">
        <v>54</v>
      </c>
      <c r="B68" s="170" t="s">
        <v>439</v>
      </c>
      <c r="C68" s="182" t="s">
        <v>430</v>
      </c>
      <c r="D68" s="182"/>
      <c r="E68" s="3"/>
      <c r="F68" s="3"/>
      <c r="G68" s="3"/>
      <c r="H68" s="3"/>
      <c r="I68" s="3"/>
      <c r="J68" s="151"/>
    </row>
    <row r="69" spans="1:13" ht="18.75" x14ac:dyDescent="0.3">
      <c r="A69" s="192">
        <v>55</v>
      </c>
      <c r="B69" s="170" t="s">
        <v>439</v>
      </c>
      <c r="C69" s="182" t="s">
        <v>431</v>
      </c>
      <c r="D69" s="182"/>
      <c r="E69" s="3"/>
      <c r="F69" s="3"/>
      <c r="G69" s="3"/>
      <c r="H69" s="3"/>
      <c r="I69" s="3"/>
      <c r="J69" s="151"/>
    </row>
    <row r="70" spans="1:13" ht="18.75" x14ac:dyDescent="0.3">
      <c r="A70" s="192">
        <v>56</v>
      </c>
      <c r="B70" s="170" t="s">
        <v>439</v>
      </c>
      <c r="C70" s="182" t="s">
        <v>432</v>
      </c>
      <c r="D70" s="182"/>
      <c r="E70" s="3"/>
      <c r="F70" s="3"/>
      <c r="G70" s="3"/>
      <c r="H70" s="3"/>
      <c r="I70" s="3"/>
      <c r="J70" s="151"/>
    </row>
    <row r="71" spans="1:13" ht="18.75" x14ac:dyDescent="0.3">
      <c r="A71" s="192">
        <v>57</v>
      </c>
      <c r="B71" s="170" t="s">
        <v>439</v>
      </c>
      <c r="C71" s="182" t="s">
        <v>433</v>
      </c>
      <c r="D71" s="182"/>
      <c r="E71" s="3"/>
      <c r="F71" s="3"/>
      <c r="G71" s="3"/>
      <c r="H71" s="3"/>
      <c r="I71" s="3"/>
      <c r="J71" s="151"/>
    </row>
    <row r="72" spans="1:13" ht="18.75" x14ac:dyDescent="0.3">
      <c r="A72" s="192">
        <v>58</v>
      </c>
      <c r="B72" s="170" t="s">
        <v>439</v>
      </c>
      <c r="C72" s="182" t="s">
        <v>434</v>
      </c>
      <c r="D72" s="182"/>
      <c r="E72" s="3"/>
      <c r="F72" s="3"/>
      <c r="G72" s="3"/>
      <c r="H72" s="3"/>
      <c r="I72" s="3"/>
      <c r="J72" s="151"/>
    </row>
    <row r="73" spans="1:13" ht="18.75" x14ac:dyDescent="0.3">
      <c r="A73" s="192">
        <v>59</v>
      </c>
      <c r="B73" s="170" t="s">
        <v>439</v>
      </c>
      <c r="C73" s="182" t="s">
        <v>435</v>
      </c>
      <c r="D73" s="182"/>
      <c r="E73" s="3"/>
      <c r="F73" s="3"/>
      <c r="G73" s="3"/>
      <c r="H73" s="3"/>
      <c r="I73" s="3"/>
      <c r="J73" s="151"/>
    </row>
    <row r="74" spans="1:13" ht="18.75" x14ac:dyDescent="0.3">
      <c r="A74" s="192">
        <v>60</v>
      </c>
      <c r="B74" s="170" t="s">
        <v>439</v>
      </c>
      <c r="C74" s="182" t="s">
        <v>436</v>
      </c>
      <c r="D74" s="182"/>
      <c r="E74" s="3"/>
      <c r="F74" s="3"/>
      <c r="G74" s="3"/>
      <c r="H74" s="3"/>
      <c r="I74" s="3"/>
      <c r="J74" s="151"/>
    </row>
    <row r="75" spans="1:13" ht="18.75" x14ac:dyDescent="0.3">
      <c r="A75" s="192">
        <v>61</v>
      </c>
      <c r="B75" s="170" t="s">
        <v>439</v>
      </c>
      <c r="C75" s="182" t="s">
        <v>437</v>
      </c>
      <c r="D75" s="182"/>
      <c r="E75" s="3"/>
      <c r="F75" s="3"/>
      <c r="G75" s="3"/>
      <c r="H75" s="3"/>
      <c r="I75" s="3"/>
      <c r="J75" s="151"/>
    </row>
    <row r="76" spans="1:13" ht="15.75" customHeight="1" thickBot="1" x14ac:dyDescent="0.35">
      <c r="A76" s="193">
        <v>62</v>
      </c>
      <c r="B76" s="170" t="s">
        <v>439</v>
      </c>
      <c r="C76" s="194" t="s">
        <v>438</v>
      </c>
      <c r="D76" s="194"/>
      <c r="E76" s="189"/>
      <c r="F76" s="189"/>
      <c r="G76" s="189"/>
      <c r="H76" s="189"/>
      <c r="I76" s="189"/>
      <c r="J76" s="152"/>
    </row>
    <row r="78" spans="1:13" ht="30" customHeight="1" x14ac:dyDescent="0.25">
      <c r="A78" s="318" t="s">
        <v>179</v>
      </c>
      <c r="B78" s="318"/>
      <c r="C78" s="318"/>
      <c r="D78" s="318"/>
      <c r="E78" s="318"/>
      <c r="F78" s="318" t="s">
        <v>178</v>
      </c>
      <c r="G78" s="318"/>
      <c r="H78" s="318"/>
      <c r="I78" s="318"/>
      <c r="J78" s="318"/>
      <c r="K78" s="14"/>
      <c r="L78" s="14"/>
      <c r="M78" s="14"/>
    </row>
  </sheetData>
  <mergeCells count="21">
    <mergeCell ref="A1:I1"/>
    <mergeCell ref="A2:I2"/>
    <mergeCell ref="A3:I3"/>
    <mergeCell ref="J7:J9"/>
    <mergeCell ref="A40:E40"/>
    <mergeCell ref="F40:G40"/>
    <mergeCell ref="H40:J40"/>
    <mergeCell ref="A7:A9"/>
    <mergeCell ref="B7:B9"/>
    <mergeCell ref="C7:C9"/>
    <mergeCell ref="H7:H8"/>
    <mergeCell ref="I7:I8"/>
    <mergeCell ref="F78:G78"/>
    <mergeCell ref="H78:J78"/>
    <mergeCell ref="A78:E78"/>
    <mergeCell ref="A42:A44"/>
    <mergeCell ref="B42:B44"/>
    <mergeCell ref="C42:C44"/>
    <mergeCell ref="H42:H43"/>
    <mergeCell ref="I42:I43"/>
    <mergeCell ref="J42:J44"/>
  </mergeCells>
  <pageMargins left="0.7" right="0.7" top="0.75" bottom="0.75" header="0.3" footer="0.3"/>
  <pageSetup paperSize="9" scale="50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2</vt:i4>
      </vt:variant>
    </vt:vector>
  </HeadingPairs>
  <TitlesOfParts>
    <vt:vector size="13" baseType="lpstr">
      <vt:lpstr>Tutorial_averaging</vt:lpstr>
      <vt:lpstr>Record_Averaging</vt:lpstr>
      <vt:lpstr>Levels</vt:lpstr>
      <vt:lpstr>CO-1</vt:lpstr>
      <vt:lpstr>CO-2</vt:lpstr>
      <vt:lpstr>CO-3</vt:lpstr>
      <vt:lpstr>CO-4</vt:lpstr>
      <vt:lpstr>CO-PO_Mapping</vt:lpstr>
      <vt:lpstr>CIE</vt:lpstr>
      <vt:lpstr>2025-26(3RD SEM)</vt:lpstr>
      <vt:lpstr>202-26(1ST SEM)</vt:lpstr>
      <vt:lpstr>Levels!Print_Area</vt:lpstr>
      <vt:lpstr>Tutorial_averaging!Print_Area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2026-04-27T08:59:33Z</dcterms:modified>
</cp:coreProperties>
</file>